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KKROBERTI\Downloads\"/>
    </mc:Choice>
  </mc:AlternateContent>
  <xr:revisionPtr revIDLastSave="0" documentId="8_{22F6B4AB-008D-406F-8853-A3051D3B5B71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dados_suporte" sheetId="2" r:id="rId1"/>
    <sheet name="finanças_fixas" sheetId="3" r:id="rId2"/>
    <sheet name="registros_financeiros" sheetId="1" r:id="rId3"/>
    <sheet name="análise_categórica" sheetId="5" r:id="rId4"/>
    <sheet name="saldo" sheetId="4" r:id="rId5"/>
  </sheets>
  <definedNames>
    <definedName name="coluna_categorias">tabela_categorias[Categorias]</definedName>
    <definedName name="coluna_tipos">tabela_tipos[Tipos]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</calcChain>
</file>

<file path=xl/sharedStrings.xml><?xml version="1.0" encoding="utf-8"?>
<sst xmlns="http://schemas.openxmlformats.org/spreadsheetml/2006/main" count="63" uniqueCount="30">
  <si>
    <t>Data</t>
  </si>
  <si>
    <t>Categoria</t>
  </si>
  <si>
    <t>Tipo</t>
  </si>
  <si>
    <t>Valor</t>
  </si>
  <si>
    <t>Moradia</t>
  </si>
  <si>
    <t>Alimentação</t>
  </si>
  <si>
    <t>Transporte</t>
  </si>
  <si>
    <t>Lazer</t>
  </si>
  <si>
    <t>Educação</t>
  </si>
  <si>
    <t>Renda extra</t>
  </si>
  <si>
    <t>Renda fixa</t>
  </si>
  <si>
    <t>TRANSAÇÕES</t>
  </si>
  <si>
    <t>Categorias</t>
  </si>
  <si>
    <t>Tipos</t>
  </si>
  <si>
    <t>Renda</t>
  </si>
  <si>
    <t>Gasto</t>
  </si>
  <si>
    <t>Mercado</t>
  </si>
  <si>
    <t>Palavra-chave</t>
  </si>
  <si>
    <t>FINANÇAS FIXAS</t>
  </si>
  <si>
    <t>Salário</t>
  </si>
  <si>
    <t>Rendimentos</t>
  </si>
  <si>
    <t>05/XX/XX</t>
  </si>
  <si>
    <t>03/XX/XX</t>
  </si>
  <si>
    <t>15/XX/XX</t>
  </si>
  <si>
    <t>Soma de Valor</t>
  </si>
  <si>
    <t>Rótulos de Coluna</t>
  </si>
  <si>
    <t>Total Geral</t>
  </si>
  <si>
    <t>Rótulos de Linha</t>
  </si>
  <si>
    <t>Saldo</t>
  </si>
  <si>
    <t>Soma de 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</si>
</sst>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/>
    <xf numFmtId="49" fontId="0" fillId="0" borderId="1" xfId="0" applyNumberFormat="1" applyBorder="1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4" fontId="1" fillId="2" borderId="2" xfId="0" applyNumberFormat="1" applyFont="1" applyFill="1" applyBorder="1" applyAlignment="1">
      <alignment horizontal="center"/>
    </xf>
    <xf numFmtId="14" fontId="1" fillId="2" borderId="0" xfId="0" applyNumberFormat="1" applyFont="1" applyFill="1" applyAlignment="1">
      <alignment horizontal="center"/>
    </xf>
    <xf numFmtId="14" fontId="1" fillId="3" borderId="0" xfId="0" applyNumberFormat="1" applyFont="1" applyFill="1" applyAlignment="1">
      <alignment horizontal="center"/>
    </xf>
  </cellXfs>
  <cellStyles count="1">
    <cellStyle name="Normal" xfId="0" builtinId="0"/>
  </cellStyles>
  <dxfs count="18">
    <dxf>
      <numFmt numFmtId="164" formatCode="&quot;R$&quot;\ #,##0.00"/>
    </dxf>
    <dxf>
      <numFmt numFmtId="164" formatCode="&quot;R$&quot;\ #,##0.0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</dxf>
    <dxf>
      <numFmt numFmtId="164" formatCode="&quot;R$&quot;\ 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automática.xlsm]análise_categórica!Tabela dinâmica4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691447944007001"/>
          <c:y val="0.14249781277340332"/>
          <c:w val="0.67941426071741029"/>
          <c:h val="0.715004374453193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análise_categórica!$B$3:$B$4</c:f>
              <c:strCache>
                <c:ptCount val="1"/>
                <c:pt idx="0">
                  <c:v>Gasto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análise_categórica!$A$5:$A$8</c:f>
              <c:strCache>
                <c:ptCount val="3"/>
                <c:pt idx="0">
                  <c:v>Renda fixa</c:v>
                </c:pt>
                <c:pt idx="1">
                  <c:v>Alimentação</c:v>
                </c:pt>
                <c:pt idx="2">
                  <c:v>Renda extra</c:v>
                </c:pt>
              </c:strCache>
            </c:strRef>
          </c:cat>
          <c:val>
            <c:numRef>
              <c:f>análise_categórica!$B$5:$B$8</c:f>
              <c:numCache>
                <c:formatCode>"R$"\ #,##0.00</c:formatCode>
                <c:ptCount val="3"/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4-47E2-9E70-995989A3273D}"/>
            </c:ext>
          </c:extLst>
        </c:ser>
        <c:ser>
          <c:idx val="1"/>
          <c:order val="1"/>
          <c:tx>
            <c:strRef>
              <c:f>análise_categórica!$C$3:$C$4</c:f>
              <c:strCache>
                <c:ptCount val="1"/>
                <c:pt idx="0">
                  <c:v>Renda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análise_categórica!$A$5:$A$8</c:f>
              <c:strCache>
                <c:ptCount val="3"/>
                <c:pt idx="0">
                  <c:v>Renda fixa</c:v>
                </c:pt>
                <c:pt idx="1">
                  <c:v>Alimentação</c:v>
                </c:pt>
                <c:pt idx="2">
                  <c:v>Renda extra</c:v>
                </c:pt>
              </c:strCache>
            </c:strRef>
          </c:cat>
          <c:val>
            <c:numRef>
              <c:f>análise_categórica!$C$5:$C$8</c:f>
              <c:numCache>
                <c:formatCode>"R$"\ #,##0.00</c:formatCode>
                <c:ptCount val="3"/>
                <c:pt idx="0">
                  <c:v>2000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4-47E2-9E70-995989A32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2016784"/>
        <c:axId val="1112013424"/>
      </c:barChart>
      <c:catAx>
        <c:axId val="111201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2013424"/>
        <c:crosses val="autoZero"/>
        <c:auto val="1"/>
        <c:lblAlgn val="ctr"/>
        <c:lblOffset val="100"/>
        <c:noMultiLvlLbl val="0"/>
      </c:catAx>
      <c:valAx>
        <c:axId val="111201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201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automática.xlsm]saldo!Tabela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saldo!$B$3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39-4518-8EAA-D17702A457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39-4518-8EAA-D17702A457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saldo!$A$4:$A$6</c:f>
              <c:strCache>
                <c:ptCount val="2"/>
                <c:pt idx="0">
                  <c:v>Gasto</c:v>
                </c:pt>
                <c:pt idx="1">
                  <c:v>Renda</c:v>
                </c:pt>
              </c:strCache>
            </c:strRef>
          </c:cat>
          <c:val>
            <c:numRef>
              <c:f>saldo!$B$4:$B$6</c:f>
              <c:numCache>
                <c:formatCode>"R$"\ #,##0.00</c:formatCode>
                <c:ptCount val="2"/>
                <c:pt idx="0">
                  <c:v>-300</c:v>
                </c:pt>
                <c:pt idx="1">
                  <c:v>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D4-4D7B-9F5E-8CA42AA546C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381000</xdr:colOff>
      <xdr:row>10</xdr:row>
      <xdr:rowOff>66675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F9EC3B2-3541-6E6D-C490-CFF164E1F5F0}"/>
            </a:ext>
          </a:extLst>
        </xdr:cNvPr>
        <xdr:cNvSpPr txBox="1"/>
      </xdr:nvSpPr>
      <xdr:spPr>
        <a:xfrm>
          <a:off x="6172200" y="197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</xdr:col>
      <xdr:colOff>628650</xdr:colOff>
      <xdr:row>0</xdr:row>
      <xdr:rowOff>180975</xdr:rowOff>
    </xdr:from>
    <xdr:to>
      <xdr:col>9</xdr:col>
      <xdr:colOff>104775</xdr:colOff>
      <xdr:row>2</xdr:row>
      <xdr:rowOff>38100</xdr:rowOff>
    </xdr:to>
    <xdr:sp macro="[0]!ExcluirTodosRegistros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20087C8-FDD0-B3B7-1060-D3212E5A1F45}"/>
            </a:ext>
          </a:extLst>
        </xdr:cNvPr>
        <xdr:cNvSpPr/>
      </xdr:nvSpPr>
      <xdr:spPr>
        <a:xfrm>
          <a:off x="5810250" y="180975"/>
          <a:ext cx="9048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Limpar</a:t>
          </a:r>
          <a:r>
            <a:rPr lang="pt-BR" sz="800" baseline="0"/>
            <a:t> Registros</a:t>
          </a:r>
          <a:endParaRPr lang="pt-BR" sz="800"/>
        </a:p>
      </xdr:txBody>
    </xdr:sp>
    <xdr:clientData/>
  </xdr:twoCellAnchor>
  <xdr:twoCellAnchor>
    <xdr:from>
      <xdr:col>7</xdr:col>
      <xdr:colOff>628650</xdr:colOff>
      <xdr:row>3</xdr:row>
      <xdr:rowOff>9525</xdr:rowOff>
    </xdr:from>
    <xdr:to>
      <xdr:col>9</xdr:col>
      <xdr:colOff>114300</xdr:colOff>
      <xdr:row>4</xdr:row>
      <xdr:rowOff>57150</xdr:rowOff>
    </xdr:to>
    <xdr:sp macro="[0]!CopiarRegistrosEntreTabel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68177B8-D9F0-E1E1-B8C1-39FA6D3A9053}"/>
            </a:ext>
          </a:extLst>
        </xdr:cNvPr>
        <xdr:cNvSpPr/>
      </xdr:nvSpPr>
      <xdr:spPr>
        <a:xfrm>
          <a:off x="5886450" y="581025"/>
          <a:ext cx="914400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Adicionar </a:t>
          </a:r>
          <a:r>
            <a:rPr lang="pt-BR" sz="800" baseline="0"/>
            <a:t> FIXOS</a:t>
          </a:r>
        </a:p>
        <a:p>
          <a:pPr algn="l"/>
          <a:endParaRPr lang="pt-BR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185737</xdr:rowOff>
    </xdr:from>
    <xdr:to>
      <xdr:col>12</xdr:col>
      <xdr:colOff>314325</xdr:colOff>
      <xdr:row>16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751EE59-E17A-47A5-2174-B0A36D64E9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4762</xdr:rowOff>
    </xdr:from>
    <xdr:to>
      <xdr:col>10</xdr:col>
      <xdr:colOff>9525</xdr:colOff>
      <xdr:row>16</xdr:row>
      <xdr:rowOff>80962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629717-8BA3-0A60-8C99-57A3AA5BB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uan Buzone" refreshedDate="45863.692641319445" createdVersion="8" refreshedVersion="8" minRefreshableVersion="3" recordCount="3" xr:uid="{D6EAF7BE-0DCA-4257-BB44-C12582199190}">
  <cacheSource type="worksheet">
    <worksheetSource name="tabela_transações"/>
  </cacheSource>
  <cacheFields count="6">
    <cacheField name="Data" numFmtId="14">
      <sharedItems/>
    </cacheField>
    <cacheField name="Palavra-chave" numFmtId="49">
      <sharedItems count="3">
        <s v="Salário"/>
        <s v="Rendimentos"/>
        <s v="Mercado"/>
      </sharedItems>
    </cacheField>
    <cacheField name="Categoria" numFmtId="49">
      <sharedItems count="3">
        <s v="Renda fixa"/>
        <s v="Renda extra"/>
        <s v="Alimentação"/>
      </sharedItems>
    </cacheField>
    <cacheField name="Tipo" numFmtId="49">
      <sharedItems count="2">
        <s v="Renda"/>
        <s v="Gasto"/>
      </sharedItems>
    </cacheField>
    <cacheField name="Valor" numFmtId="164">
      <sharedItems containsSemiMixedTypes="0" containsString="0" containsNumber="1" containsInteger="1" minValue="200" maxValue="2000"/>
    </cacheField>
    <cacheField name="Saldo" numFmtId="164">
      <sharedItems containsSemiMixedTypes="0" containsString="0" containsNumber="1" containsInteger="1" minValue="-30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05/XX/XX"/>
    <x v="0"/>
    <x v="0"/>
    <x v="0"/>
    <n v="2000"/>
    <n v="2000"/>
  </r>
  <r>
    <s v="03/XX/XX"/>
    <x v="1"/>
    <x v="1"/>
    <x v="0"/>
    <n v="200"/>
    <n v="200"/>
  </r>
  <r>
    <s v="15/XX/XX"/>
    <x v="2"/>
    <x v="2"/>
    <x v="1"/>
    <n v="300"/>
    <n v="-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14531-07B2-4421-AD91-BBDC98D2A6A9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D8" firstHeaderRow="1" firstDataRow="2" firstDataCol="1"/>
  <pivotFields count="6">
    <pivotField showAll="0"/>
    <pivotField showAll="0"/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3">
        <item x="1"/>
        <item x="0"/>
        <item t="default"/>
      </items>
    </pivotField>
    <pivotField dataField="1" numFmtId="164" showAll="0"/>
    <pivotField numFmtId="164" showAll="0"/>
  </pivotFields>
  <rowFields count="1">
    <field x="2"/>
  </rowFields>
  <rowItems count="4">
    <i>
      <x v="2"/>
    </i>
    <i>
      <x/>
    </i>
    <i>
      <x v="1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oma de Valor" fld="4" baseField="0" baseItem="0" numFmtId="164"/>
  </dataFields>
  <chartFormats count="4">
    <chartFormat chart="0" format="2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F0CC7-4546-4812-A22B-400B862BA90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6" firstHeaderRow="1" firstDataRow="1" firstDataCol="1"/>
  <pivotFields count="6">
    <pivotField showAll="0"/>
    <pivotField showAll="0">
      <items count="4">
        <item x="2"/>
        <item x="1"/>
        <item x="0"/>
        <item t="default"/>
      </items>
    </pivotField>
    <pivotField multipleItemSelectionAllowed="1" showAll="0">
      <items count="4">
        <item x="2"/>
        <item x="1"/>
        <item x="0"/>
        <item t="default"/>
      </items>
    </pivotField>
    <pivotField axis="axisRow" multipleItemSelectionAllowed="1" showAll="0">
      <items count="3">
        <item x="1"/>
        <item x="0"/>
        <item t="default"/>
      </items>
    </pivotField>
    <pivotField numFmtId="164" showAll="0"/>
    <pivotField dataField="1" numFmtId="164"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Saldo" fld="5" baseField="0" baseItem="0" numFmtId="164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E4E743-05F8-4F36-BE48-0D5CC93CCE14}" name="tabela_categorias" displayName="tabela_categorias" ref="A1:A8" totalsRowShown="0">
  <autoFilter ref="A1:A8" xr:uid="{29E4E743-05F8-4F36-BE48-0D5CC93CCE14}"/>
  <tableColumns count="1">
    <tableColumn id="1" xr3:uid="{7CC183B7-6FB9-43A7-9B63-C6A4BA77BF08}" name="Categorias" dataDxfId="1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1ECFE4-7B86-4FB9-B9CF-1FCC46C26223}" name="tabela_tipos" displayName="tabela_tipos" ref="C1:C3" totalsRowShown="0" headerRowDxfId="16" dataDxfId="15" tableBorderDxfId="14">
  <autoFilter ref="C1:C3" xr:uid="{071ECFE4-7B86-4FB9-B9CF-1FCC46C26223}"/>
  <tableColumns count="1">
    <tableColumn id="1" xr3:uid="{EF79A619-7736-41C4-AC16-BEA5A8FD8121}" name="Tipos" dataDxfId="1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F48707-E870-4BDF-9E8F-C8C0DD848E43}" name="tabela_finanças_fixas" displayName="tabela_finanças_fixas" ref="A2:E5" totalsRowShown="0" headerRowDxfId="12">
  <autoFilter ref="A2:E5" xr:uid="{FCF48707-E870-4BDF-9E8F-C8C0DD848E43}"/>
  <tableColumns count="5">
    <tableColumn id="1" xr3:uid="{F095E176-50E6-4E06-8718-5AD7C620DD5C}" name="Data" dataDxfId="11"/>
    <tableColumn id="2" xr3:uid="{9F5D7B44-4E75-4B27-9107-39FDDA85C104}" name="Palavra-chave" dataDxfId="10"/>
    <tableColumn id="3" xr3:uid="{3CAEA9F7-D5C5-49A6-95E0-48FC081C4ED4}" name="Categoria" dataDxfId="9"/>
    <tableColumn id="4" xr3:uid="{A6BF4ED9-D212-45EF-A624-5421859A9745}" name="Tipo" dataDxfId="8"/>
    <tableColumn id="5" xr3:uid="{2346288F-2B6F-46F7-8D0F-B33CC8611151}" name="Valor" dataDxfId="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38004-87B1-40FF-B23B-41D2381BA046}" name="tabela_transações" displayName="tabela_transações" ref="A2:F5" totalsRowShown="0" headerRowDxfId="6">
  <autoFilter ref="A2:F5" xr:uid="{E6E38004-87B1-40FF-B23B-41D2381BA046}"/>
  <tableColumns count="6">
    <tableColumn id="1" xr3:uid="{AF7D83B0-31AB-4A0D-BF92-95D2F3FFA6B1}" name="Data" dataDxfId="5"/>
    <tableColumn id="2" xr3:uid="{AD2A53EF-1058-4896-B632-7C3ED7E22B3A}" name="Palavra-chave" dataDxfId="4"/>
    <tableColumn id="3" xr3:uid="{CB3E1621-AFDC-46BF-8986-1EA0DA05F1B5}" name="Categoria" dataDxfId="3"/>
    <tableColumn id="4" xr3:uid="{ABDA3F6E-D494-4B5D-A359-D6C4D1A98059}" name="Tipo" dataDxfId="2"/>
    <tableColumn id="5" xr3:uid="{00B99CF4-DA9A-4FD1-BFF1-AA55B7399EF7}" name="Valor" dataDxfId="1"/>
    <tableColumn id="6" xr3:uid="{DF71FCA7-B0EC-4CF0-B3C1-568385D4BF64}" name="Saldo" dataDxfId="0">
      <calculatedColumnFormula>IF(tabela_transações[[#This Row],[Tipo]] = "Gasto", tabela_transações[[#This Row],[Valor]] * -1, tabela_transações[[#This Row],[Valor]])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6396-FA30-4A89-B52F-A20E62F9E3BB}">
  <sheetPr codeName="Planilha1"/>
  <dimension ref="A1:C8"/>
  <sheetViews>
    <sheetView workbookViewId="0">
      <selection activeCell="E1" sqref="E1"/>
    </sheetView>
  </sheetViews>
  <sheetFormatPr defaultRowHeight="15" x14ac:dyDescent="0.25"/>
  <cols>
    <col min="1" max="1" width="13" bestFit="1" customWidth="1"/>
    <col min="3" max="3" width="8.140625" bestFit="1" customWidth="1"/>
  </cols>
  <sheetData>
    <row r="1" spans="1:3" x14ac:dyDescent="0.25">
      <c r="A1" t="s">
        <v>12</v>
      </c>
      <c r="C1" s="8" t="s">
        <v>13</v>
      </c>
    </row>
    <row r="2" spans="1:3" x14ac:dyDescent="0.25">
      <c r="A2" s="2" t="s">
        <v>4</v>
      </c>
      <c r="C2" s="7" t="s">
        <v>14</v>
      </c>
    </row>
    <row r="3" spans="1:3" x14ac:dyDescent="0.25">
      <c r="A3" s="2" t="s">
        <v>5</v>
      </c>
      <c r="C3" s="7" t="s">
        <v>15</v>
      </c>
    </row>
    <row r="4" spans="1:3" x14ac:dyDescent="0.25">
      <c r="A4" s="2" t="s">
        <v>6</v>
      </c>
    </row>
    <row r="5" spans="1:3" x14ac:dyDescent="0.25">
      <c r="A5" s="2" t="s">
        <v>7</v>
      </c>
    </row>
    <row r="6" spans="1:3" x14ac:dyDescent="0.25">
      <c r="A6" s="2" t="s">
        <v>8</v>
      </c>
    </row>
    <row r="7" spans="1:3" x14ac:dyDescent="0.25">
      <c r="A7" s="2" t="s">
        <v>10</v>
      </c>
    </row>
    <row r="8" spans="1:3" x14ac:dyDescent="0.25">
      <c r="A8" s="2" t="s">
        <v>9</v>
      </c>
    </row>
  </sheetData>
  <dataValidations count="1">
    <dataValidation type="list" allowBlank="1" showInputMessage="1" showErrorMessage="1" sqref="A3:A8" xr:uid="{C4FE9AD2-2592-4BF6-BB33-5302D96FC2AB}">
      <formula1>$A$2:$A$8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15F8-2A79-4CB3-9298-B1C67C245152}">
  <sheetPr codeName="Planilha3"/>
  <dimension ref="A1:E5"/>
  <sheetViews>
    <sheetView workbookViewId="0">
      <selection activeCell="E6" sqref="E6"/>
    </sheetView>
  </sheetViews>
  <sheetFormatPr defaultRowHeight="15" x14ac:dyDescent="0.25"/>
  <cols>
    <col min="5" max="5" width="10.7109375" bestFit="1" customWidth="1"/>
  </cols>
  <sheetData>
    <row r="1" spans="1:5" x14ac:dyDescent="0.25">
      <c r="A1" s="11" t="s">
        <v>18</v>
      </c>
      <c r="B1" s="12"/>
      <c r="C1" s="12"/>
      <c r="D1" s="12"/>
      <c r="E1" s="12"/>
    </row>
    <row r="2" spans="1:5" x14ac:dyDescent="0.25">
      <c r="A2" s="5" t="s">
        <v>0</v>
      </c>
      <c r="B2" s="5" t="s">
        <v>17</v>
      </c>
      <c r="C2" s="5" t="s">
        <v>1</v>
      </c>
      <c r="D2" s="5" t="s">
        <v>2</v>
      </c>
      <c r="E2" s="6" t="s">
        <v>3</v>
      </c>
    </row>
    <row r="3" spans="1:5" x14ac:dyDescent="0.25">
      <c r="A3" s="2" t="s">
        <v>21</v>
      </c>
      <c r="B3" s="2" t="s">
        <v>19</v>
      </c>
      <c r="C3" s="2" t="s">
        <v>10</v>
      </c>
      <c r="D3" s="2" t="s">
        <v>14</v>
      </c>
      <c r="E3" s="3">
        <v>2000</v>
      </c>
    </row>
    <row r="4" spans="1:5" x14ac:dyDescent="0.25">
      <c r="A4" s="2" t="s">
        <v>22</v>
      </c>
      <c r="B4" s="2" t="s">
        <v>20</v>
      </c>
      <c r="C4" s="2" t="s">
        <v>9</v>
      </c>
      <c r="D4" s="2" t="s">
        <v>14</v>
      </c>
      <c r="E4" s="3">
        <v>200</v>
      </c>
    </row>
    <row r="5" spans="1:5" x14ac:dyDescent="0.25">
      <c r="A5" s="2" t="s">
        <v>23</v>
      </c>
      <c r="B5" s="2" t="s">
        <v>16</v>
      </c>
      <c r="C5" s="2" t="s">
        <v>5</v>
      </c>
      <c r="D5" s="2" t="s">
        <v>15</v>
      </c>
      <c r="E5" s="3">
        <v>300</v>
      </c>
    </row>
  </sheetData>
  <mergeCells count="1">
    <mergeCell ref="A1:E1"/>
  </mergeCells>
  <dataValidations count="2">
    <dataValidation type="list" allowBlank="1" showInputMessage="1" showErrorMessage="1" sqref="D2:D5" xr:uid="{1F90787C-CE0F-4299-BD9E-D31FE4D8FEBE}">
      <formula1>coluna_tipos</formula1>
    </dataValidation>
    <dataValidation type="list" allowBlank="1" showInputMessage="1" showErrorMessage="1" sqref="C2:C5" xr:uid="{DB76DBEE-3515-4512-A080-08D2239B97CD}">
      <formula1>coluna_categorias</formula1>
    </dataValidation>
  </dataValidations>
  <pageMargins left="0.511811024" right="0.511811024" top="0.78740157499999996" bottom="0.78740157499999996" header="0.31496062000000002" footer="0.31496062000000002"/>
  <ignoredErrors>
    <ignoredError sqref="C2:D2" listDataValidatio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5"/>
  <sheetViews>
    <sheetView workbookViewId="0">
      <selection activeCell="A2" sqref="A2"/>
    </sheetView>
  </sheetViews>
  <sheetFormatPr defaultColWidth="10.7109375" defaultRowHeight="15" x14ac:dyDescent="0.25"/>
  <cols>
    <col min="1" max="1" width="10.42578125" style="1" bestFit="1" customWidth="1"/>
    <col min="2" max="2" width="15.85546875" style="2" bestFit="1" customWidth="1"/>
    <col min="3" max="3" width="12.140625" style="2" bestFit="1" customWidth="1"/>
    <col min="4" max="4" width="7.140625" style="2" bestFit="1" customWidth="1"/>
    <col min="5" max="5" width="10.7109375" style="3" bestFit="1" customWidth="1"/>
    <col min="6" max="6" width="11.85546875" style="3" bestFit="1" customWidth="1"/>
  </cols>
  <sheetData>
    <row r="1" spans="1:6" x14ac:dyDescent="0.25">
      <c r="A1" s="13" t="s">
        <v>11</v>
      </c>
      <c r="B1" s="13"/>
      <c r="C1" s="13"/>
      <c r="D1" s="13"/>
      <c r="E1" s="13"/>
      <c r="F1" s="13"/>
    </row>
    <row r="2" spans="1:6" x14ac:dyDescent="0.25">
      <c r="A2" s="4" t="s">
        <v>0</v>
      </c>
      <c r="B2" s="5" t="s">
        <v>17</v>
      </c>
      <c r="C2" s="5" t="s">
        <v>1</v>
      </c>
      <c r="D2" s="5" t="s">
        <v>2</v>
      </c>
      <c r="E2" s="6" t="s">
        <v>3</v>
      </c>
      <c r="F2" s="6" t="s">
        <v>28</v>
      </c>
    </row>
    <row r="3" spans="1:6" x14ac:dyDescent="0.25">
      <c r="A3" s="4" t="s">
        <v>21</v>
      </c>
      <c r="B3" s="5" t="s">
        <v>19</v>
      </c>
      <c r="C3" s="5" t="s">
        <v>10</v>
      </c>
      <c r="D3" s="5" t="s">
        <v>14</v>
      </c>
      <c r="E3" s="6">
        <v>2000</v>
      </c>
      <c r="F3" s="6">
        <f>IF(tabela_transações[[#This Row],[Tipo]] = "Gasto", tabela_transações[[#This Row],[Valor]] * -1, tabela_transações[[#This Row],[Valor]])</f>
        <v>2000</v>
      </c>
    </row>
    <row r="4" spans="1:6" x14ac:dyDescent="0.25">
      <c r="A4" s="4" t="s">
        <v>22</v>
      </c>
      <c r="B4" s="5" t="s">
        <v>20</v>
      </c>
      <c r="C4" s="5" t="s">
        <v>9</v>
      </c>
      <c r="D4" s="5" t="s">
        <v>14</v>
      </c>
      <c r="E4" s="6">
        <v>200</v>
      </c>
      <c r="F4" s="6">
        <f>IF(tabela_transações[[#This Row],[Tipo]] = "Gasto", tabela_transações[[#This Row],[Valor]] * -1, tabela_transações[[#This Row],[Valor]])</f>
        <v>200</v>
      </c>
    </row>
    <row r="5" spans="1:6" x14ac:dyDescent="0.25">
      <c r="A5" s="4" t="s">
        <v>23</v>
      </c>
      <c r="B5" s="5" t="s">
        <v>16</v>
      </c>
      <c r="C5" s="5" t="s">
        <v>5</v>
      </c>
      <c r="D5" s="5" t="s">
        <v>15</v>
      </c>
      <c r="E5" s="6">
        <v>300</v>
      </c>
      <c r="F5" s="6">
        <f>IF(tabela_transações[[#This Row],[Tipo]] = "Gasto", tabela_transações[[#This Row],[Valor]] * -1, tabela_transações[[#This Row],[Valor]])</f>
        <v>-300</v>
      </c>
    </row>
  </sheetData>
  <mergeCells count="1">
    <mergeCell ref="A1:F1"/>
  </mergeCells>
  <dataValidations count="2">
    <dataValidation type="list" allowBlank="1" showInputMessage="1" showErrorMessage="1" sqref="C6:C1048576 C2" xr:uid="{4D0D23AE-392B-41C3-9AE1-A6D9A9E37654}">
      <formula1>coluna_categorias</formula1>
    </dataValidation>
    <dataValidation type="list" allowBlank="1" showInputMessage="1" showErrorMessage="1" sqref="D6:D1048576 D2" xr:uid="{89B8E893-BCCA-453B-AA29-90B9ECD52654}">
      <formula1>coluna_tipos</formula1>
    </dataValidation>
  </dataValidations>
  <pageMargins left="0.7" right="0.7" top="0.75" bottom="0.75" header="0.3" footer="0.3"/>
  <ignoredErrors>
    <ignoredError sqref="C2:D2" listDataValidation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C7CF-D797-4B28-873F-BD2D760E6EEC}">
  <sheetPr codeName="Planilha5"/>
  <dimension ref="A3:D8"/>
  <sheetViews>
    <sheetView tabSelected="1" zoomScaleNormal="100" workbookViewId="0">
      <selection activeCell="D5" sqref="D5:D8"/>
    </sheetView>
  </sheetViews>
  <sheetFormatPr defaultRowHeight="15" x14ac:dyDescent="0.25"/>
  <cols>
    <col min="1" max="1" width="18.42578125" bestFit="1" customWidth="1"/>
    <col min="2" max="2" width="20.140625" bestFit="1" customWidth="1"/>
    <col min="3" max="5" width="10.85546875" bestFit="1" customWidth="1"/>
  </cols>
  <sheetData>
    <row r="3" spans="1:4" x14ac:dyDescent="0.25">
      <c r="A3" s="9" t="s">
        <v>24</v>
      </c>
      <c r="B3" s="9" t="s">
        <v>25</v>
      </c>
    </row>
    <row r="4" spans="1:4" x14ac:dyDescent="0.25">
      <c r="A4" s="9" t="s">
        <v>27</v>
      </c>
      <c r="B4" t="s">
        <v>15</v>
      </c>
      <c r="C4" t="s">
        <v>14</v>
      </c>
      <c r="D4" t="s">
        <v>26</v>
      </c>
    </row>
    <row r="5" spans="1:4" x14ac:dyDescent="0.25">
      <c r="A5" s="10" t="s">
        <v>10</v>
      </c>
      <c r="B5" s="3"/>
      <c r="C5" s="3">
        <v>2000</v>
      </c>
      <c r="D5" s="3">
        <v>2000</v>
      </c>
    </row>
    <row r="6" spans="1:4" x14ac:dyDescent="0.25">
      <c r="A6" s="10" t="s">
        <v>5</v>
      </c>
      <c r="B6" s="3">
        <v>300</v>
      </c>
      <c r="C6" s="3"/>
      <c r="D6" s="3">
        <v>300</v>
      </c>
    </row>
    <row r="7" spans="1:4" x14ac:dyDescent="0.25">
      <c r="A7" s="10" t="s">
        <v>9</v>
      </c>
      <c r="B7" s="3"/>
      <c r="C7" s="3">
        <v>200</v>
      </c>
      <c r="D7" s="3">
        <v>200</v>
      </c>
    </row>
    <row r="8" spans="1:4" x14ac:dyDescent="0.25">
      <c r="A8" s="10" t="s">
        <v>26</v>
      </c>
      <c r="B8" s="3">
        <v>300</v>
      </c>
      <c r="C8" s="3">
        <v>2200</v>
      </c>
      <c r="D8" s="3">
        <v>2500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86138-9C52-4493-B239-07B0B8ACA769}">
  <sheetPr codeName="Planilha4"/>
  <dimension ref="A3:B6"/>
  <sheetViews>
    <sheetView workbookViewId="0">
      <selection activeCell="B6" sqref="B6"/>
    </sheetView>
  </sheetViews>
  <sheetFormatPr defaultRowHeight="15" x14ac:dyDescent="0.25"/>
  <cols>
    <col min="1" max="1" width="18.42578125" bestFit="1" customWidth="1"/>
    <col min="2" max="2" width="14.28515625" bestFit="1" customWidth="1"/>
    <col min="3" max="3" width="11.7109375" bestFit="1" customWidth="1"/>
    <col min="4" max="5" width="10.85546875" bestFit="1" customWidth="1"/>
  </cols>
  <sheetData>
    <row r="3" spans="1:2" x14ac:dyDescent="0.25">
      <c r="A3" s="9" t="s">
        <v>27</v>
      </c>
      <c r="B3" t="s">
        <v>29</v>
      </c>
    </row>
    <row r="4" spans="1:2" x14ac:dyDescent="0.25">
      <c r="A4" s="10" t="s">
        <v>15</v>
      </c>
      <c r="B4" s="3">
        <v>-300</v>
      </c>
    </row>
    <row r="5" spans="1:2" x14ac:dyDescent="0.25">
      <c r="A5" s="10" t="s">
        <v>14</v>
      </c>
      <c r="B5" s="3">
        <v>2200</v>
      </c>
    </row>
    <row r="6" spans="1:2" x14ac:dyDescent="0.25">
      <c r="A6" s="10" t="s">
        <v>26</v>
      </c>
      <c r="B6" s="3">
        <v>1900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dados_suporte</vt:lpstr>
      <vt:lpstr>finanças_fixas</vt:lpstr>
      <vt:lpstr>registros_financeiros</vt:lpstr>
      <vt:lpstr>análise_categórica</vt:lpstr>
      <vt:lpstr>saldo</vt:lpstr>
      <vt:lpstr>coluna_categorias</vt:lpstr>
      <vt:lpstr>coluna_tipos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Kauan Buzone</dc:creator>
  <cp:keywords/>
  <dc:description/>
  <cp:lastModifiedBy>Kauan Buzone</cp:lastModifiedBy>
  <cp:revision/>
  <dcterms:created xsi:type="dcterms:W3CDTF">2025-07-20T22:38:14Z</dcterms:created>
  <dcterms:modified xsi:type="dcterms:W3CDTF">2025-07-25T20:04:35Z</dcterms:modified>
  <cp:category/>
  <cp:contentStatus/>
</cp:coreProperties>
</file>