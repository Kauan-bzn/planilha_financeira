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KKROBERTI\Downloads\"/>
    </mc:Choice>
  </mc:AlternateContent>
  <xr:revisionPtr revIDLastSave="0" documentId="13_ncr:1_{47B92269-C04E-4FC2-A2EC-6CCAC0C8694B}" xr6:coauthVersionLast="47" xr6:coauthVersionMax="47" xr10:uidLastSave="{00000000-0000-0000-0000-000000000000}"/>
  <bookViews>
    <workbookView xWindow="-120" yWindow="-120" windowWidth="20730" windowHeight="11760" activeTab="3" xr2:uid="{00000000-000D-0000-FFFF-FFFF00000000}"/>
  </bookViews>
  <sheets>
    <sheet name="dados_suporte" sheetId="2" r:id="rId1"/>
    <sheet name="transações_fixas" sheetId="3" r:id="rId2"/>
    <sheet name="transações" sheetId="1" r:id="rId3"/>
    <sheet name="dashboard_resumo" sheetId="7" r:id="rId4"/>
    <sheet name="datas" sheetId="11" state="hidden" r:id="rId5"/>
    <sheet name="análise_tipo" sheetId="4" state="hidden" r:id="rId6"/>
    <sheet name="análise_temporal" sheetId="8" state="hidden" r:id="rId7"/>
    <sheet name="tabela_gastos" sheetId="15" state="hidden" r:id="rId8"/>
    <sheet name="datas_gastos" sheetId="18" state="hidden" r:id="rId9"/>
    <sheet name="análise_gasto_categoria" sheetId="5" state="hidden" r:id="rId10"/>
    <sheet name="tabela_economias" sheetId="16" state="hidden" r:id="rId11"/>
    <sheet name="economias" sheetId="9" state="hidden" r:id="rId12"/>
  </sheets>
  <definedNames>
    <definedName name="_xlnm._FilterDatabase" localSheetId="2" hidden="1">transações!$A$2:$F$16</definedName>
    <definedName name="_xleta.AND" hidden="1" xlm="1">#NAME?</definedName>
    <definedName name="_xleta.CONCAT" hidden="1" xlm="1">#NAME?</definedName>
    <definedName name="_xleta.LOOKUP" hidden="1" xlm="1">#NAME?</definedName>
    <definedName name="_xleta.SUM" hidden="1" xlm="1">#NAME?</definedName>
    <definedName name="_xleta.TEXT" hidden="1" xlm="1">#NAME?</definedName>
    <definedName name="_xleta.VALUE" hidden="1" xlm="1">#NAME?</definedName>
    <definedName name="_xlnm.Extract" localSheetId="2">transações!#REF!</definedName>
    <definedName name="coluna_categorias">tabela_categorias[Categorias]</definedName>
    <definedName name="coluna_tipos">tabela_tipos[Tipos]</definedName>
    <definedName name="_xlnm.Criteria" localSheetId="2">transações!#REF!</definedName>
    <definedName name="DadosExternos_1" localSheetId="10" hidden="1">tabela_economias!$A$1:$F$3</definedName>
    <definedName name="DadosExternos_1" localSheetId="7" hidden="1">tabela_gastos!$A$1:$F$10</definedName>
    <definedName name="NativeTimeline_Data">#N/A</definedName>
    <definedName name="NativeTimeline_Data1">#N/A</definedName>
    <definedName name="SegmentaçãodeDados_Categoria">#N/A</definedName>
    <definedName name="SegmentaçãodeDados_Categoria1">#N/A</definedName>
    <definedName name="SegmentaçãodeDados_Tipo">#N/A</definedName>
    <definedName name="StatusFinanceiro">dados_suporte!$C$3</definedName>
  </definedNames>
  <calcPr calcId="191028"/>
  <pivotCaches>
    <pivotCache cacheId="53" r:id="rId13"/>
    <pivotCache cacheId="58" r:id="rId14"/>
    <pivotCache cacheId="62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9"/>
        <x15:timelineCacheRef r:id="rId2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F10" i="1"/>
  <c r="F16" i="1"/>
  <c r="F15" i="1"/>
  <c r="F14" i="1"/>
  <c r="F13" i="1"/>
  <c r="F12" i="1"/>
  <c r="F11" i="1"/>
  <c r="F9" i="1"/>
  <c r="F8" i="1"/>
  <c r="F7" i="1"/>
  <c r="F6" i="1"/>
  <c r="F5" i="1"/>
  <c r="F4" i="1"/>
  <c r="F3" i="1"/>
  <c r="H3" i="3"/>
  <c r="L7" i="4"/>
  <c r="L6" i="4"/>
  <c r="L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23D7A8-7745-451D-97B2-466634BD8C0A}" keepAlive="1" name="Consulta - tabela_economias" description="Conexão com a consulta 'tabela_economias' na pasta de trabalho." type="5" refreshedVersion="8" background="1" saveData="1">
    <dbPr connection="Provider=Microsoft.Mashup.OleDb.1;Data Source=$Workbook$;Location=tabela_economias;Extended Properties=&quot;&quot;" command="SELECT * FROM [tabela_economias]"/>
  </connection>
  <connection id="2" xr16:uid="{7358DA67-EAE6-48FC-8727-28A7C29B731B}" keepAlive="1" name="Consulta - tabela_gastos" description="Conexão com a consulta 'tabela_gastos' na pasta de trabalho." type="5" refreshedVersion="8" background="1" saveData="1">
    <dbPr connection="Provider=Microsoft.Mashup.OleDb.1;Data Source=$Workbook$;Location=tabela_gastos;Extended Properties=&quot;&quot;" command="SELECT * FROM [tabela_gastos]"/>
  </connection>
</connections>
</file>

<file path=xl/sharedStrings.xml><?xml version="1.0" encoding="utf-8"?>
<sst xmlns="http://schemas.openxmlformats.org/spreadsheetml/2006/main" count="175" uniqueCount="51">
  <si>
    <t>Data</t>
  </si>
  <si>
    <t>Categoria</t>
  </si>
  <si>
    <t>Tipo</t>
  </si>
  <si>
    <t>Valor</t>
  </si>
  <si>
    <t>Moradia</t>
  </si>
  <si>
    <t>Alimentação</t>
  </si>
  <si>
    <t>Transporte</t>
  </si>
  <si>
    <t>Lazer</t>
  </si>
  <si>
    <t>Educação</t>
  </si>
  <si>
    <t>Renda extra</t>
  </si>
  <si>
    <t>Renda fixa</t>
  </si>
  <si>
    <t>TRANSAÇÕES</t>
  </si>
  <si>
    <t>Categorias</t>
  </si>
  <si>
    <t>Tipos</t>
  </si>
  <si>
    <t>Renda</t>
  </si>
  <si>
    <t>Gasto</t>
  </si>
  <si>
    <t>Palavra-chave</t>
  </si>
  <si>
    <t>Salário</t>
  </si>
  <si>
    <t>Soma de Valor</t>
  </si>
  <si>
    <t>Total Geral</t>
  </si>
  <si>
    <t>Rótulos de Linha</t>
  </si>
  <si>
    <t>Saldo</t>
  </si>
  <si>
    <t>TRANSAÇÕES FIXAS</t>
  </si>
  <si>
    <t>DADOS DE SUPORTE PARA REGISTROS</t>
  </si>
  <si>
    <t>tipos para facilitar o preenchimento de dados</t>
  </si>
  <si>
    <t>Aqui você pode alterar categorias e</t>
  </si>
  <si>
    <t>Status</t>
  </si>
  <si>
    <t>Investimento</t>
  </si>
  <si>
    <t>CDB</t>
  </si>
  <si>
    <t>R$</t>
  </si>
  <si>
    <t>META  DE INVESTIMENTO</t>
  </si>
  <si>
    <t>% da renda</t>
  </si>
  <si>
    <t>Rótulos de Coluna</t>
  </si>
  <si>
    <t>Rótulos</t>
  </si>
  <si>
    <t>Economias</t>
  </si>
  <si>
    <t>Soma de Saldo do investimento</t>
  </si>
  <si>
    <t>Criptomoeda</t>
  </si>
  <si>
    <t xml:space="preserve">Altere aqui receitas e despesas recorrentes para utilizar o botão "adicionar fixos"  </t>
  </si>
  <si>
    <t>Auto-cuidado</t>
  </si>
  <si>
    <t>Internet</t>
  </si>
  <si>
    <t>WellHub</t>
  </si>
  <si>
    <t>Faculdade USJT</t>
  </si>
  <si>
    <t>Sobrancelha</t>
  </si>
  <si>
    <t>Shopee (Realtimes) 3/3</t>
  </si>
  <si>
    <t>Presente</t>
  </si>
  <si>
    <t>Shein (Roupas) 2/3</t>
  </si>
  <si>
    <t>Iphone 3/3</t>
  </si>
  <si>
    <t>Iphone (Venda)</t>
  </si>
  <si>
    <t>Show Calcinha Preta 2/3</t>
  </si>
  <si>
    <t>Show Calcinha Preta 2/3 - Lipe</t>
  </si>
  <si>
    <t>Fatura Cartão AGOSTO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</si>
</sst>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R$&quot;\ #,##0.00"/>
  </numFmts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Helvetica"/>
    </font>
    <font>
      <sz val="11"/>
      <color theme="1"/>
      <name val="Helvetica"/>
    </font>
    <font>
      <b/>
      <sz val="11"/>
      <color theme="1"/>
      <name val="Helvetica"/>
    </font>
    <font>
      <sz val="12"/>
      <color theme="1"/>
      <name val="Helvetica"/>
    </font>
    <font>
      <b/>
      <sz val="12"/>
      <color theme="0"/>
      <name val="Helvetica"/>
    </font>
    <font>
      <b/>
      <sz val="48"/>
      <color theme="0"/>
      <name val="Kristen ITC"/>
      <family val="4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660066"/>
        <bgColor theme="8"/>
      </patternFill>
    </fill>
    <fill>
      <patternFill patternType="solid">
        <fgColor rgb="FF660066"/>
        <bgColor auto="1"/>
      </patternFill>
    </fill>
    <fill>
      <patternFill patternType="solid">
        <fgColor rgb="FF660066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14" fontId="0" fillId="0" borderId="0" xfId="0" applyNumberFormat="1"/>
    <xf numFmtId="49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0" fontId="4" fillId="0" borderId="1" xfId="0" applyFont="1" applyBorder="1"/>
    <xf numFmtId="49" fontId="4" fillId="0" borderId="3" xfId="0" applyNumberFormat="1" applyFont="1" applyBorder="1"/>
    <xf numFmtId="49" fontId="4" fillId="0" borderId="4" xfId="0" applyNumberFormat="1" applyFont="1" applyBorder="1"/>
    <xf numFmtId="49" fontId="5" fillId="0" borderId="5" xfId="0" applyNumberFormat="1" applyFont="1" applyBorder="1"/>
    <xf numFmtId="164" fontId="5" fillId="0" borderId="7" xfId="0" applyNumberFormat="1" applyFont="1" applyBorder="1"/>
    <xf numFmtId="49" fontId="4" fillId="0" borderId="2" xfId="0" applyNumberFormat="1" applyFont="1" applyBorder="1"/>
    <xf numFmtId="164" fontId="4" fillId="0" borderId="9" xfId="0" applyNumberFormat="1" applyFont="1" applyBorder="1"/>
    <xf numFmtId="14" fontId="2" fillId="0" borderId="2" xfId="0" applyNumberFormat="1" applyFont="1" applyBorder="1"/>
    <xf numFmtId="49" fontId="2" fillId="0" borderId="2" xfId="0" applyNumberFormat="1" applyFont="1" applyBorder="1"/>
    <xf numFmtId="164" fontId="2" fillId="0" borderId="2" xfId="0" applyNumberFormat="1" applyFont="1" applyBorder="1"/>
    <xf numFmtId="0" fontId="4" fillId="0" borderId="2" xfId="0" applyFont="1" applyBorder="1"/>
    <xf numFmtId="0" fontId="6" fillId="3" borderId="0" xfId="0" applyFont="1" applyFill="1"/>
    <xf numFmtId="164" fontId="7" fillId="3" borderId="0" xfId="0" applyNumberFormat="1" applyFont="1" applyFill="1"/>
    <xf numFmtId="0" fontId="8" fillId="2" borderId="0" xfId="0" applyFont="1" applyFill="1" applyAlignment="1">
      <alignment horizontal="left"/>
    </xf>
    <xf numFmtId="14" fontId="2" fillId="0" borderId="8" xfId="0" applyNumberFormat="1" applyFont="1" applyBorder="1"/>
    <xf numFmtId="164" fontId="2" fillId="0" borderId="9" xfId="0" applyNumberFormat="1" applyFont="1" applyBorder="1"/>
    <xf numFmtId="14" fontId="5" fillId="0" borderId="6" xfId="0" applyNumberFormat="1" applyFont="1" applyBorder="1"/>
    <xf numFmtId="14" fontId="4" fillId="0" borderId="8" xfId="0" applyNumberFormat="1" applyFont="1" applyBorder="1"/>
    <xf numFmtId="14" fontId="4" fillId="0" borderId="0" xfId="0" applyNumberFormat="1" applyFont="1"/>
    <xf numFmtId="49" fontId="4" fillId="4" borderId="4" xfId="0" applyNumberFormat="1" applyFont="1" applyFill="1" applyBorder="1"/>
    <xf numFmtId="164" fontId="3" fillId="6" borderId="5" xfId="0" applyNumberFormat="1" applyFont="1" applyFill="1" applyBorder="1"/>
    <xf numFmtId="164" fontId="3" fillId="7" borderId="1" xfId="0" applyNumberFormat="1" applyFont="1" applyFill="1" applyBorder="1"/>
    <xf numFmtId="10" fontId="4" fillId="0" borderId="0" xfId="0" applyNumberFormat="1" applyFont="1"/>
    <xf numFmtId="14" fontId="0" fillId="0" borderId="0" xfId="0" applyNumberFormat="1" applyAlignment="1">
      <alignment horizontal="left"/>
    </xf>
    <xf numFmtId="49" fontId="3" fillId="6" borderId="0" xfId="0" applyNumberFormat="1" applyFont="1" applyFill="1"/>
    <xf numFmtId="49" fontId="4" fillId="0" borderId="9" xfId="0" applyNumberFormat="1" applyFont="1" applyBorder="1"/>
    <xf numFmtId="49" fontId="0" fillId="0" borderId="2" xfId="0" applyNumberFormat="1" applyBorder="1"/>
    <xf numFmtId="164" fontId="0" fillId="0" borderId="2" xfId="0" applyNumberFormat="1" applyBorder="1"/>
    <xf numFmtId="14" fontId="2" fillId="0" borderId="10" xfId="0" applyNumberFormat="1" applyFont="1" applyBorder="1"/>
    <xf numFmtId="49" fontId="0" fillId="0" borderId="13" xfId="0" applyNumberFormat="1" applyBorder="1"/>
    <xf numFmtId="164" fontId="0" fillId="0" borderId="13" xfId="0" applyNumberFormat="1" applyBorder="1"/>
    <xf numFmtId="164" fontId="0" fillId="0" borderId="11" xfId="0" applyNumberFormat="1" applyBorder="1"/>
    <xf numFmtId="0" fontId="3" fillId="5" borderId="12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49" fontId="3" fillId="6" borderId="9" xfId="0" applyNumberFormat="1" applyFont="1" applyFill="1" applyBorder="1" applyAlignment="1">
      <alignment horizontal="center"/>
    </xf>
    <xf numFmtId="49" fontId="3" fillId="6" borderId="3" xfId="0" applyNumberFormat="1" applyFont="1" applyFill="1" applyBorder="1" applyAlignment="1">
      <alignment horizontal="center"/>
    </xf>
    <xf numFmtId="49" fontId="3" fillId="6" borderId="8" xfId="0" applyNumberFormat="1" applyFont="1" applyFill="1" applyBorder="1" applyAlignment="1">
      <alignment horizontal="center"/>
    </xf>
    <xf numFmtId="49" fontId="3" fillId="6" borderId="12" xfId="0" applyNumberFormat="1" applyFont="1" applyFill="1" applyBorder="1" applyAlignment="1">
      <alignment horizontal="center"/>
    </xf>
    <xf numFmtId="49" fontId="3" fillId="6" borderId="0" xfId="0" applyNumberFormat="1" applyFont="1" applyFill="1" applyAlignment="1">
      <alignment horizontal="center"/>
    </xf>
    <xf numFmtId="49" fontId="3" fillId="6" borderId="2" xfId="0" applyNumberFormat="1" applyFont="1" applyFill="1" applyBorder="1" applyAlignment="1">
      <alignment horizontal="center"/>
    </xf>
    <xf numFmtId="14" fontId="1" fillId="6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70">
    <dxf>
      <numFmt numFmtId="164" formatCode="&quot;R$&quot;\ #,##0.00"/>
    </dxf>
    <dxf>
      <numFmt numFmtId="164" formatCode="&quot;R$&quot;\ #,##0.0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numFmt numFmtId="164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"/>
        <scheme val="none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Helvetica"/>
        <scheme val="none"/>
      </font>
      <numFmt numFmtId="164" formatCode="&quot;R$&quot;\ #,##0.00"/>
      <fill>
        <patternFill patternType="solid">
          <fgColor indexed="64"/>
          <bgColor rgb="FF660066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Helvetica"/>
        <scheme val="none"/>
      </font>
      <numFmt numFmtId="164" formatCode="&quot;R$&quot;\ #,##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Helvetica"/>
        <scheme val="none"/>
      </font>
      <numFmt numFmtId="30" formatCode="@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Helvetica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Helvetica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Helvetica"/>
        <scheme val="none"/>
      </font>
      <numFmt numFmtId="19" formatCode="dd/mm/yyyy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Helvetica"/>
        <scheme val="none"/>
      </font>
      <numFmt numFmtId="30" formatCode="@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1" tint="0.1499679555650502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Helvetica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Helvetica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Helvetic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"/>
        <scheme val="none"/>
      </font>
      <numFmt numFmtId="30" formatCode="@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Helvetica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Helvetica"/>
        <scheme val="none"/>
      </font>
      <numFmt numFmtId="30" formatCode="@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Helvetica"/>
        <scheme val="none"/>
      </font>
    </dxf>
    <dxf>
      <border>
        <bottom style="thin">
          <color indexed="64"/>
        </bottom>
      </border>
    </dxf>
    <dxf>
      <font>
        <i val="0"/>
        <strike val="0"/>
        <outline val="0"/>
        <shadow val="0"/>
        <u val="none"/>
        <vertAlign val="baseline"/>
        <sz val="11"/>
        <color theme="1"/>
        <name val="Helvetica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1" tint="0.1499679555650502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b val="0"/>
        <i val="0"/>
        <u val="none"/>
        <color theme="0"/>
      </font>
      <fill>
        <patternFill patternType="solid">
          <fgColor auto="1"/>
          <bgColor rgb="FF6600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0"/>
      </font>
      <fill>
        <patternFill>
          <bgColor theme="1" tint="0.1499679555650502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z val="11"/>
        <color theme="0"/>
        <name val="Aptos Narrow"/>
        <family val="2"/>
        <scheme val="minor"/>
      </font>
    </dxf>
    <dxf>
      <font>
        <color theme="0"/>
      </font>
      <fill>
        <patternFill patternType="solid">
          <fgColor theme="0"/>
          <bgColor theme="1" tint="0.14996795556505021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3" defaultTableStyle="TableStyleMedium2" defaultPivotStyle="PivotStyleLight16">
    <tableStyle name="Estilo de Linha do Tempo 1" pivot="0" table="0" count="8" xr9:uid="{4CFFF0CA-9C4F-4C27-9B7A-CADF52A4565D}">
      <tableStyleElement type="wholeTable" dxfId="69"/>
      <tableStyleElement type="headerRow" dxfId="68"/>
    </tableStyle>
    <tableStyle name="Estilo de Segmentação de Dados 1" pivot="0" table="0" count="2" xr9:uid="{8646C6BF-FD64-452E-A64D-20B02223BB9A}">
      <tableStyleElement type="wholeTable" dxfId="67"/>
    </tableStyle>
    <tableStyle name="Estilo de Tabela 1" pivot="0" count="3" xr9:uid="{F3C17555-3963-45E3-8610-D18A250FB52F}">
      <tableStyleElement type="headerRow" dxfId="66"/>
      <tableStyleElement type="firstRowStripe" dxfId="65"/>
      <tableStyleElement type="secondRowStripe" dxfId="64"/>
    </tableStyle>
  </tableStyles>
  <colors>
    <mruColors>
      <color rgb="FFF7FF8B"/>
      <color rgb="FF0066CC"/>
      <color rgb="FF00C9DE"/>
      <color rgb="FFFFFFCC"/>
      <color rgb="FF660066"/>
      <color rgb="FFCC99FF"/>
      <color rgb="FF9900CC"/>
      <color rgb="FFCC0000"/>
      <color rgb="FFFFCCFF"/>
      <color rgb="FF990099"/>
    </mruColors>
  </colors>
  <extLst>
    <ext xmlns:x14="http://schemas.microsoft.com/office/spreadsheetml/2009/9/main" uri="{46F421CA-312F-682f-3DD2-61675219B42D}">
      <x14:dxfs count="1">
        <dxf>
          <font>
            <color theme="0"/>
          </font>
          <fill>
            <patternFill>
              <bgColor rgb="FF660066"/>
            </patternFill>
          </fill>
        </dxf>
      </x14:dxfs>
    </ext>
    <ext xmlns:x14="http://schemas.microsoft.com/office/spreadsheetml/2009/9/main" uri="{EB79DEF2-80B8-43e5-95BD-54CBDDF9020C}">
      <x14:slicerStyles defaultSlicerStyle="Estilo de Segmentação de Dados 1">
        <x14:slicerStyle name="Estilo de Segmentação de Dados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A0A4C193-F2C1-4fcb-8827-314CF55A85BB}">
      <x15:dxfs count="6">
        <dxf>
          <fill>
            <patternFill patternType="solid">
              <fgColor theme="0" tint="-0.14993743705557422"/>
              <bgColor theme="1" tint="0.14996795556505021"/>
            </patternFill>
          </fill>
        </dxf>
        <dxf>
          <fill>
            <patternFill patternType="solid">
              <fgColor theme="0"/>
              <bgColor rgb="FF660066"/>
            </patternFill>
          </fill>
        </dxf>
        <dxf>
          <font>
            <sz val="9"/>
            <color theme="0"/>
            <name val="Aptos Narrow"/>
            <family val="2"/>
            <scheme val="minor"/>
          </font>
        </dxf>
        <dxf>
          <font>
            <sz val="9"/>
            <color theme="0"/>
            <name val="Aptos Narrow"/>
            <family val="2"/>
            <scheme val="minor"/>
          </font>
        </dxf>
        <dxf>
          <font>
            <sz val="9"/>
            <color theme="0"/>
            <name val="Aptos Narrow"/>
            <family val="2"/>
            <scheme val="minor"/>
          </font>
        </dxf>
        <dxf>
          <font>
            <sz val="10"/>
            <color theme="0"/>
            <name val="Aptos Narrow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Estilo de Linha do Tempo 1">
        <x15:timelineStyle name="Estilo de Linha do Tempo 1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3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11/relationships/timelineCache" Target="timelineCaches/timelineCache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automática.xlsm]análise_tipo!análise_tipo</c:name>
    <c:fmtId val="1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chemeClr val="bg2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C00000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  <c:marker>
          <c:symbol val="none"/>
        </c:marker>
        <c:dLbl>
          <c:idx val="0"/>
          <c:spPr>
            <a:solidFill>
              <a:schemeClr val="tx1">
                <a:lumMod val="85000"/>
                <a:lumOff val="15000"/>
              </a:schemeClr>
            </a:solidFill>
            <a:ln>
              <a:solidFill>
                <a:srgbClr val="FFFFFF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Helvetica" panose="020B0604020202020204" pitchFamily="34" charset="0"/>
                  <a:ea typeface="+mn-ea"/>
                  <a:cs typeface="Helvetica" panose="020B0604020202020204" pitchFamily="34" charset="0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7FF8B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</c:pivotFmt>
      <c:pivotFmt>
        <c:idx val="17"/>
        <c:spPr>
          <a:solidFill>
            <a:srgbClr val="660066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</c:pivotFmt>
      <c:pivotFmt>
        <c:idx val="18"/>
        <c:spPr>
          <a:solidFill>
            <a:srgbClr val="00C9DE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</c:pivotFmt>
    </c:pivotFmts>
    <c:plotArea>
      <c:layout/>
      <c:pieChart>
        <c:varyColors val="0"/>
        <c:ser>
          <c:idx val="0"/>
          <c:order val="0"/>
          <c:tx>
            <c:strRef>
              <c:f>análise_tipo!$B$3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63500" sx="102000" sy="102000" algn="ctr" rotWithShape="0">
                <a:schemeClr val="tx1">
                  <a:alpha val="40000"/>
                </a:schemeClr>
              </a:outerShdw>
            </a:effectLst>
          </c:spPr>
          <c:dPt>
            <c:idx val="0"/>
            <c:bubble3D val="0"/>
            <c:spPr>
              <a:solidFill>
                <a:srgbClr val="F7FF8B"/>
              </a:solidFill>
              <a:ln>
                <a:noFill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DB4-4BBE-BE04-8EAF3F5570D0}"/>
              </c:ext>
            </c:extLst>
          </c:dPt>
          <c:dPt>
            <c:idx val="1"/>
            <c:bubble3D val="0"/>
            <c:spPr>
              <a:solidFill>
                <a:srgbClr val="660066"/>
              </a:solidFill>
              <a:ln>
                <a:noFill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774-4357-B845-AF2E41FC8D41}"/>
              </c:ext>
            </c:extLst>
          </c:dPt>
          <c:dPt>
            <c:idx val="2"/>
            <c:bubble3D val="0"/>
            <c:spPr>
              <a:solidFill>
                <a:srgbClr val="00C9DE"/>
              </a:solidFill>
              <a:ln>
                <a:noFill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F42-4CB6-BA35-23BB9D500BDD}"/>
              </c:ext>
            </c:extLst>
          </c:dPt>
          <c:dLbls>
            <c:spPr>
              <a:solidFill>
                <a:schemeClr val="tx1">
                  <a:lumMod val="85000"/>
                  <a:lumOff val="15000"/>
                </a:schemeClr>
              </a:solidFill>
              <a:ln>
                <a:solidFill>
                  <a:srgbClr val="FFFFFF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Helvetica" panose="020B0604020202020204" pitchFamily="34" charset="0"/>
                    <a:ea typeface="+mn-ea"/>
                    <a:cs typeface="Helvetica" panose="020B0604020202020204" pitchFamily="34" charset="0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análise_tipo!$A$4:$A$7</c:f>
              <c:strCache>
                <c:ptCount val="3"/>
                <c:pt idx="0">
                  <c:v>Gasto</c:v>
                </c:pt>
                <c:pt idx="1">
                  <c:v>Renda</c:v>
                </c:pt>
                <c:pt idx="2">
                  <c:v>Investimento</c:v>
                </c:pt>
              </c:strCache>
            </c:strRef>
          </c:cat>
          <c:val>
            <c:numRef>
              <c:f>análise_tipo!$B$4:$B$7</c:f>
              <c:numCache>
                <c:formatCode>"R$"\ #,##0.00</c:formatCode>
                <c:ptCount val="3"/>
                <c:pt idx="0">
                  <c:v>3440.3800000000006</c:v>
                </c:pt>
                <c:pt idx="1">
                  <c:v>3074.33</c:v>
                </c:pt>
                <c:pt idx="2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B4-4BBE-BE04-8EAF3F5570D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tx1">
            <a:lumMod val="85000"/>
            <a:lumOff val="15000"/>
          </a:schemeClr>
        </a:solidFill>
        <a:ln>
          <a:solidFill>
            <a:schemeClr val="bg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lang="en-US" sz="1100" b="0" i="0" u="none" strike="noStrike" kern="1200" baseline="0">
              <a:solidFill>
                <a:schemeClr val="bg1"/>
              </a:solidFill>
              <a:latin typeface="Helvetica" panose="020B0604020202020204" pitchFamily="34" charset="0"/>
              <a:ea typeface="+mn-ea"/>
              <a:cs typeface="Helvetica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automática.xlsm]análise_gasto_categoria!Gastos_Categoria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Helvetica" panose="020B0604020202020204" pitchFamily="34" charset="0"/>
              </a:rPr>
              <a:t>Gastos por Categoria</a:t>
            </a:r>
          </a:p>
        </c:rich>
      </c:tx>
      <c:layout>
        <c:manualLayout>
          <c:xMode val="edge"/>
          <c:yMode val="edge"/>
          <c:x val="0.32681778563689867"/>
          <c:y val="5.23809523809523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F7FF8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Helvetica" panose="020B06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7FF8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Helvetica" panose="020B06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7FF8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Helvetica" panose="020B06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FF8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análise_gasto_categoria!$B$3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7FF8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análise_gasto_categoria!$A$4:$A$8</c:f>
              <c:strCache>
                <c:ptCount val="4"/>
                <c:pt idx="0">
                  <c:v>Auto-cuidado</c:v>
                </c:pt>
                <c:pt idx="1">
                  <c:v>Lazer</c:v>
                </c:pt>
                <c:pt idx="2">
                  <c:v>Educação</c:v>
                </c:pt>
                <c:pt idx="3">
                  <c:v>Presente</c:v>
                </c:pt>
              </c:strCache>
            </c:strRef>
          </c:cat>
          <c:val>
            <c:numRef>
              <c:f>análise_gasto_categoria!$B$4:$B$8</c:f>
              <c:numCache>
                <c:formatCode>"R$"\ #,##0.00</c:formatCode>
                <c:ptCount val="4"/>
                <c:pt idx="0">
                  <c:v>233</c:v>
                </c:pt>
                <c:pt idx="1">
                  <c:v>2916</c:v>
                </c:pt>
                <c:pt idx="2">
                  <c:v>214</c:v>
                </c:pt>
                <c:pt idx="3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D8-45DF-A540-74057E23C88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76154095"/>
        <c:axId val="676131535"/>
      </c:barChart>
      <c:catAx>
        <c:axId val="676154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Helvetica" panose="020B0604020202020204" pitchFamily="34" charset="0"/>
                <a:ea typeface="+mn-ea"/>
                <a:cs typeface="+mn-cs"/>
              </a:defRPr>
            </a:pPr>
            <a:endParaRPr lang="pt-BR"/>
          </a:p>
        </c:txPr>
        <c:crossAx val="676131535"/>
        <c:crosses val="autoZero"/>
        <c:auto val="1"/>
        <c:lblAlgn val="ctr"/>
        <c:lblOffset val="100"/>
        <c:noMultiLvlLbl val="0"/>
      </c:catAx>
      <c:valAx>
        <c:axId val="676131535"/>
        <c:scaling>
          <c:orientation val="minMax"/>
        </c:scaling>
        <c:delete val="1"/>
        <c:axPos val="l"/>
        <c:numFmt formatCode="&quot;R$&quot;\ #,##0.00" sourceLinked="1"/>
        <c:majorTickMark val="out"/>
        <c:minorTickMark val="none"/>
        <c:tickLblPos val="nextTo"/>
        <c:crossAx val="676154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automática.xlsm]análise_temporal!análise_temporal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400">
                <a:latin typeface="Helvetica" panose="020B0604020202020204" pitchFamily="34" charset="0"/>
                <a:cs typeface="Helvetica" panose="020B0604020202020204" pitchFamily="34" charset="0"/>
              </a:rPr>
              <a:t>Transações por Datas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F7FF8B"/>
            </a:solidFill>
            <a:round/>
          </a:ln>
          <a:effectLst/>
        </c:spPr>
        <c:marker>
          <c:symbol val="circle"/>
          <c:size val="5"/>
          <c:spPr>
            <a:solidFill>
              <a:srgbClr val="F7FF8B"/>
            </a:solidFill>
            <a:ln w="9525">
              <a:solidFill>
                <a:srgbClr val="F7FF8B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rgbClr val="00C9DE"/>
            </a:solidFill>
            <a:round/>
          </a:ln>
          <a:effectLst/>
        </c:spPr>
        <c:marker>
          <c:symbol val="circle"/>
          <c:size val="5"/>
          <c:spPr>
            <a:solidFill>
              <a:srgbClr val="00C9DE"/>
            </a:solidFill>
            <a:ln w="9525">
              <a:solidFill>
                <a:srgbClr val="00C9DE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rgbClr val="CC99FF"/>
            </a:solidFill>
            <a:round/>
          </a:ln>
          <a:effectLst/>
        </c:spPr>
        <c:marker>
          <c:symbol val="circle"/>
          <c:size val="5"/>
          <c:spPr>
            <a:solidFill>
              <a:srgbClr val="CC99FF"/>
            </a:solidFill>
            <a:ln w="9525">
              <a:solidFill>
                <a:srgbClr val="CC99FF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rgbClr val="F7FF8B"/>
            </a:solidFill>
            <a:round/>
          </a:ln>
          <a:effectLst/>
        </c:spPr>
        <c:marker>
          <c:symbol val="circle"/>
          <c:size val="5"/>
          <c:spPr>
            <a:solidFill>
              <a:srgbClr val="F7FF8B"/>
            </a:solidFill>
            <a:ln w="9525">
              <a:solidFill>
                <a:srgbClr val="F7FF8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rgbClr val="00C9DE"/>
            </a:solidFill>
            <a:round/>
          </a:ln>
          <a:effectLst/>
        </c:spPr>
        <c:marker>
          <c:symbol val="circle"/>
          <c:size val="5"/>
          <c:spPr>
            <a:solidFill>
              <a:srgbClr val="00C9DE"/>
            </a:solidFill>
            <a:ln w="9525">
              <a:solidFill>
                <a:srgbClr val="00C9D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CC99FF"/>
            </a:solidFill>
            <a:round/>
          </a:ln>
          <a:effectLst/>
        </c:spPr>
        <c:marker>
          <c:symbol val="circle"/>
          <c:size val="5"/>
          <c:spPr>
            <a:solidFill>
              <a:srgbClr val="CC99FF"/>
            </a:solidFill>
            <a:ln w="9525">
              <a:solidFill>
                <a:srgbClr val="CC99F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rgbClr val="F7FF8B"/>
            </a:solidFill>
            <a:round/>
          </a:ln>
          <a:effectLst/>
        </c:spPr>
        <c:marker>
          <c:symbol val="circle"/>
          <c:size val="5"/>
          <c:spPr>
            <a:solidFill>
              <a:srgbClr val="F7FF8B"/>
            </a:solidFill>
            <a:ln w="9525">
              <a:solidFill>
                <a:srgbClr val="F7FF8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rgbClr val="00C9DE"/>
            </a:solidFill>
            <a:round/>
          </a:ln>
          <a:effectLst/>
        </c:spPr>
        <c:marker>
          <c:symbol val="circle"/>
          <c:size val="5"/>
          <c:spPr>
            <a:solidFill>
              <a:srgbClr val="00C9DE"/>
            </a:solidFill>
            <a:ln w="9525">
              <a:solidFill>
                <a:srgbClr val="00C9D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CC99FF"/>
            </a:solidFill>
            <a:round/>
          </a:ln>
          <a:effectLst/>
        </c:spPr>
        <c:marker>
          <c:symbol val="circle"/>
          <c:size val="5"/>
          <c:spPr>
            <a:solidFill>
              <a:srgbClr val="CC99FF"/>
            </a:solidFill>
            <a:ln w="9525">
              <a:solidFill>
                <a:srgbClr val="CC99F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análise_temporal!$B$3:$B$4</c:f>
              <c:strCache>
                <c:ptCount val="1"/>
                <c:pt idx="0">
                  <c:v>Gasto</c:v>
                </c:pt>
              </c:strCache>
            </c:strRef>
          </c:tx>
          <c:spPr>
            <a:ln w="28575" cap="rnd">
              <a:solidFill>
                <a:srgbClr val="F7FF8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7FF8B"/>
              </a:solidFill>
              <a:ln w="9525">
                <a:solidFill>
                  <a:srgbClr val="F7FF8B"/>
                </a:solidFill>
              </a:ln>
              <a:effectLst/>
            </c:spPr>
          </c:marker>
          <c:cat>
            <c:strRef>
              <c:f>análise_temporal!$A$5:$A$9</c:f>
              <c:strCache>
                <c:ptCount val="4"/>
                <c:pt idx="0">
                  <c:v>07/08/2025</c:v>
                </c:pt>
                <c:pt idx="1">
                  <c:v>10/08/2025</c:v>
                </c:pt>
                <c:pt idx="2">
                  <c:v>06/08/2025</c:v>
                </c:pt>
                <c:pt idx="3">
                  <c:v>11/08/2025</c:v>
                </c:pt>
              </c:strCache>
            </c:strRef>
          </c:cat>
          <c:val>
            <c:numRef>
              <c:f>análise_temporal!$B$5:$B$9</c:f>
              <c:numCache>
                <c:formatCode>"R$"\ #,##0.00</c:formatCode>
                <c:ptCount val="4"/>
                <c:pt idx="0">
                  <c:v>411.7</c:v>
                </c:pt>
                <c:pt idx="1">
                  <c:v>1598.43</c:v>
                </c:pt>
                <c:pt idx="3">
                  <c:v>1430.25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B-4CFA-A4B4-3F5D2B2BDC40}"/>
            </c:ext>
          </c:extLst>
        </c:ser>
        <c:ser>
          <c:idx val="1"/>
          <c:order val="1"/>
          <c:tx>
            <c:strRef>
              <c:f>análise_temporal!$C$3:$C$4</c:f>
              <c:strCache>
                <c:ptCount val="1"/>
                <c:pt idx="0">
                  <c:v>Investimento</c:v>
                </c:pt>
              </c:strCache>
            </c:strRef>
          </c:tx>
          <c:spPr>
            <a:ln w="28575" cap="rnd">
              <a:solidFill>
                <a:srgbClr val="00C9D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C9DE"/>
              </a:solidFill>
              <a:ln w="9525">
                <a:solidFill>
                  <a:srgbClr val="00C9DE"/>
                </a:solidFill>
              </a:ln>
              <a:effectLst/>
            </c:spPr>
          </c:marker>
          <c:cat>
            <c:strRef>
              <c:f>análise_temporal!$A$5:$A$9</c:f>
              <c:strCache>
                <c:ptCount val="4"/>
                <c:pt idx="0">
                  <c:v>07/08/2025</c:v>
                </c:pt>
                <c:pt idx="1">
                  <c:v>10/08/2025</c:v>
                </c:pt>
                <c:pt idx="2">
                  <c:v>06/08/2025</c:v>
                </c:pt>
                <c:pt idx="3">
                  <c:v>11/08/2025</c:v>
                </c:pt>
              </c:strCache>
            </c:strRef>
          </c:cat>
          <c:val>
            <c:numRef>
              <c:f>análise_temporal!$C$5:$C$9</c:f>
              <c:numCache>
                <c:formatCode>"R$"\ #,##0.00</c:formatCode>
                <c:ptCount val="4"/>
                <c:pt idx="0">
                  <c:v>300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81E-4B50-96DE-FBC6142CEB4A}"/>
            </c:ext>
          </c:extLst>
        </c:ser>
        <c:ser>
          <c:idx val="2"/>
          <c:order val="2"/>
          <c:tx>
            <c:strRef>
              <c:f>análise_temporal!$D$3:$D$4</c:f>
              <c:strCache>
                <c:ptCount val="1"/>
                <c:pt idx="0">
                  <c:v>Renda</c:v>
                </c:pt>
              </c:strCache>
            </c:strRef>
          </c:tx>
          <c:spPr>
            <a:ln w="28575" cap="rnd">
              <a:solidFill>
                <a:srgbClr val="CC99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C99FF"/>
              </a:solidFill>
              <a:ln w="9525">
                <a:solidFill>
                  <a:srgbClr val="CC99FF"/>
                </a:solidFill>
              </a:ln>
              <a:effectLst/>
            </c:spPr>
          </c:marker>
          <c:cat>
            <c:strRef>
              <c:f>análise_temporal!$A$5:$A$9</c:f>
              <c:strCache>
                <c:ptCount val="4"/>
                <c:pt idx="0">
                  <c:v>07/08/2025</c:v>
                </c:pt>
                <c:pt idx="1">
                  <c:v>10/08/2025</c:v>
                </c:pt>
                <c:pt idx="2">
                  <c:v>06/08/2025</c:v>
                </c:pt>
                <c:pt idx="3">
                  <c:v>11/08/2025</c:v>
                </c:pt>
              </c:strCache>
            </c:strRef>
          </c:cat>
          <c:val>
            <c:numRef>
              <c:f>análise_temporal!$D$5:$D$9</c:f>
              <c:numCache>
                <c:formatCode>"R$"\ #,##0.00</c:formatCode>
                <c:ptCount val="4"/>
                <c:pt idx="0">
                  <c:v>2000</c:v>
                </c:pt>
                <c:pt idx="3">
                  <c:v>1074.33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81E-4B50-96DE-FBC6142CE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157455"/>
        <c:axId val="676137775"/>
      </c:lineChart>
      <c:catAx>
        <c:axId val="676157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6137775"/>
        <c:crosses val="autoZero"/>
        <c:auto val="1"/>
        <c:lblAlgn val="ctr"/>
        <c:lblOffset val="100"/>
        <c:noMultiLvlLbl val="0"/>
      </c:catAx>
      <c:valAx>
        <c:axId val="6761377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67615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Helvetica" panose="020B0604020202020204" pitchFamily="34" charset="0"/>
              <a:ea typeface="+mn-ea"/>
              <a:cs typeface="Helvetica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automática.xlsm]economias!Economias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Helvetica" panose="020B0604020202020204"/>
                <a:ea typeface="+mn-ea"/>
                <a:cs typeface="+mn-cs"/>
              </a:defRPr>
            </a:pPr>
            <a:r>
              <a:rPr lang="en-US" baseline="0">
                <a:latin typeface="Helvetica" panose="020B0604020202020204"/>
              </a:rPr>
              <a:t>Economias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Helvetica" panose="020B0604020202020204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1">
                <a:lumMod val="85000"/>
                <a:lumOff val="15000"/>
              </a:schemeClr>
            </a:solidFill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Helvetica" panose="020B0604020202020204" pitchFamily="34" charset="0"/>
                  <a:ea typeface="+mn-ea"/>
                  <a:cs typeface="Helvetica" panose="020B0604020202020204" pitchFamily="34" charset="0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66CC"/>
          </a:solidFill>
          <a:ln>
            <a:noFill/>
          </a:ln>
          <a:effectLst/>
        </c:spPr>
      </c:pivotFmt>
      <c:pivotFmt>
        <c:idx val="5"/>
        <c:spPr>
          <a:solidFill>
            <a:srgbClr val="FFFFCC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1">
                <a:lumMod val="85000"/>
                <a:lumOff val="15000"/>
              </a:schemeClr>
            </a:solidFill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Helvetica" panose="020B0604020202020204" pitchFamily="34" charset="0"/>
                  <a:ea typeface="+mn-ea"/>
                  <a:cs typeface="Helvetica" panose="020B0604020202020204" pitchFamily="34" charset="0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66CC"/>
          </a:solidFill>
          <a:ln>
            <a:noFill/>
          </a:ln>
          <a:effectLst/>
        </c:spPr>
      </c:pivotFmt>
      <c:pivotFmt>
        <c:idx val="8"/>
        <c:spPr>
          <a:solidFill>
            <a:srgbClr val="FFFFCC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1">
                <a:lumMod val="85000"/>
                <a:lumOff val="15000"/>
              </a:schemeClr>
            </a:solidFill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Helvetica" panose="020B0604020202020204" pitchFamily="34" charset="0"/>
                  <a:ea typeface="+mn-ea"/>
                  <a:cs typeface="Helvetica" panose="020B0604020202020204" pitchFamily="34" charset="0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FFFFCC"/>
          </a:solidFill>
          <a:ln>
            <a:noFill/>
          </a:ln>
          <a:effectLst/>
        </c:spPr>
      </c:pivotFmt>
      <c:pivotFmt>
        <c:idx val="12"/>
        <c:spPr>
          <a:solidFill>
            <a:srgbClr val="F7FF8B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economias!$B$4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7DA-47FE-98BB-4DBF049A03E6}"/>
              </c:ext>
            </c:extLst>
          </c:dPt>
          <c:dPt>
            <c:idx val="1"/>
            <c:bubble3D val="0"/>
            <c:spPr>
              <a:solidFill>
                <a:srgbClr val="F7FF8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7DA-47FE-98BB-4DBF049A03E6}"/>
              </c:ext>
            </c:extLst>
          </c:dPt>
          <c:dLbls>
            <c:spPr>
              <a:solidFill>
                <a:schemeClr val="tx1">
                  <a:lumMod val="85000"/>
                  <a:lumOff val="15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Helvetica" panose="020B0604020202020204" pitchFamily="34" charset="0"/>
                    <a:ea typeface="+mn-ea"/>
                    <a:cs typeface="Helvetica" panose="020B0604020202020204" pitchFamily="34" charset="0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economias!$A$5:$A$7</c:f>
              <c:strCache>
                <c:ptCount val="2"/>
                <c:pt idx="0">
                  <c:v>CDB</c:v>
                </c:pt>
                <c:pt idx="1">
                  <c:v>Criptomoeda</c:v>
                </c:pt>
              </c:strCache>
            </c:strRef>
          </c:cat>
          <c:val>
            <c:numRef>
              <c:f>economias!$B$5:$B$7</c:f>
              <c:numCache>
                <c:formatCode>"R$"\ #,##0.00</c:formatCode>
                <c:ptCount val="2"/>
                <c:pt idx="0">
                  <c:v>300</c:v>
                </c:pt>
                <c:pt idx="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DA-47FE-98BB-4DBF049A0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automática.xlsm]análise_tipo!análise_tipo</c:name>
    <c:fmtId val="4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chemeClr val="bg2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C00000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  <c:marker>
          <c:symbol val="none"/>
        </c:marker>
        <c:dLbl>
          <c:idx val="0"/>
          <c:spPr>
            <a:solidFill>
              <a:schemeClr val="tx1">
                <a:lumMod val="85000"/>
                <a:lumOff val="15000"/>
              </a:schemeClr>
            </a:solidFill>
            <a:ln>
              <a:solidFill>
                <a:srgbClr val="FFFFFF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C0000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</c:pivotFmt>
      <c:pivotFmt>
        <c:idx val="17"/>
        <c:spPr>
          <a:solidFill>
            <a:srgbClr val="660066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</c:pivotFmt>
      <c:pivotFmt>
        <c:idx val="18"/>
        <c:spPr>
          <a:solidFill>
            <a:srgbClr val="00C9DE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  <c:marker>
          <c:symbol val="none"/>
        </c:marker>
        <c:dLbl>
          <c:idx val="0"/>
          <c:spPr>
            <a:solidFill>
              <a:schemeClr val="tx1">
                <a:lumMod val="85000"/>
                <a:lumOff val="15000"/>
              </a:schemeClr>
            </a:solidFill>
            <a:ln>
              <a:solidFill>
                <a:srgbClr val="FFFFFF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CC0000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</c:pivotFmt>
      <c:pivotFmt>
        <c:idx val="21"/>
        <c:spPr>
          <a:solidFill>
            <a:srgbClr val="660066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</c:pivotFmt>
      <c:pivotFmt>
        <c:idx val="22"/>
        <c:spPr>
          <a:solidFill>
            <a:srgbClr val="00C9DE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  <c:marker>
          <c:symbol val="none"/>
        </c:marker>
        <c:dLbl>
          <c:idx val="0"/>
          <c:spPr>
            <a:solidFill>
              <a:schemeClr val="tx1">
                <a:lumMod val="85000"/>
                <a:lumOff val="15000"/>
              </a:schemeClr>
            </a:solidFill>
            <a:ln>
              <a:solidFill>
                <a:srgbClr val="FFFFFF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7FF8B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</c:pivotFmt>
      <c:pivotFmt>
        <c:idx val="25"/>
        <c:spPr>
          <a:solidFill>
            <a:srgbClr val="660066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</c:pivotFmt>
      <c:pivotFmt>
        <c:idx val="26"/>
        <c:spPr>
          <a:solidFill>
            <a:srgbClr val="00C9DE"/>
          </a:solidFill>
          <a:ln>
            <a:noFill/>
          </a:ln>
          <a:effectLst>
            <a:outerShdw blurRad="63500" sx="102000" sy="102000" algn="ctr" rotWithShape="0">
              <a:schemeClr val="tx1">
                <a:alpha val="40000"/>
              </a:schemeClr>
            </a:outerShdw>
          </a:effectLst>
        </c:spPr>
      </c:pivotFmt>
    </c:pivotFmts>
    <c:plotArea>
      <c:layout/>
      <c:pieChart>
        <c:varyColors val="0"/>
        <c:ser>
          <c:idx val="0"/>
          <c:order val="0"/>
          <c:tx>
            <c:strRef>
              <c:f>análise_tipo!$B$3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63500" sx="102000" sy="102000" algn="ctr" rotWithShape="0">
                <a:schemeClr val="tx1">
                  <a:alpha val="40000"/>
                </a:schemeClr>
              </a:outerShdw>
            </a:effectLst>
          </c:spPr>
          <c:dPt>
            <c:idx val="0"/>
            <c:bubble3D val="0"/>
            <c:spPr>
              <a:solidFill>
                <a:srgbClr val="F7FF8B"/>
              </a:solidFill>
              <a:ln>
                <a:noFill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4E0-4FFB-8136-4A87E5028FA9}"/>
              </c:ext>
            </c:extLst>
          </c:dPt>
          <c:dPt>
            <c:idx val="1"/>
            <c:bubble3D val="0"/>
            <c:spPr>
              <a:solidFill>
                <a:srgbClr val="660066"/>
              </a:solidFill>
              <a:ln>
                <a:noFill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4E0-4FFB-8136-4A87E5028FA9}"/>
              </c:ext>
            </c:extLst>
          </c:dPt>
          <c:dPt>
            <c:idx val="2"/>
            <c:bubble3D val="0"/>
            <c:spPr>
              <a:solidFill>
                <a:srgbClr val="00C9DE"/>
              </a:solidFill>
              <a:ln>
                <a:noFill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4E0-4FFB-8136-4A87E5028FA9}"/>
              </c:ext>
            </c:extLst>
          </c:dPt>
          <c:dLbls>
            <c:spPr>
              <a:solidFill>
                <a:schemeClr val="tx1">
                  <a:lumMod val="85000"/>
                  <a:lumOff val="15000"/>
                </a:schemeClr>
              </a:solidFill>
              <a:ln>
                <a:solidFill>
                  <a:srgbClr val="FFFFFF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análise_tipo!$A$4:$A$7</c:f>
              <c:strCache>
                <c:ptCount val="3"/>
                <c:pt idx="0">
                  <c:v>Gasto</c:v>
                </c:pt>
                <c:pt idx="1">
                  <c:v>Renda</c:v>
                </c:pt>
                <c:pt idx="2">
                  <c:v>Investimento</c:v>
                </c:pt>
              </c:strCache>
            </c:strRef>
          </c:cat>
          <c:val>
            <c:numRef>
              <c:f>análise_tipo!$B$4:$B$7</c:f>
              <c:numCache>
                <c:formatCode>"R$"\ #,##0.00</c:formatCode>
                <c:ptCount val="3"/>
                <c:pt idx="0">
                  <c:v>3440.3800000000006</c:v>
                </c:pt>
                <c:pt idx="1">
                  <c:v>3074.33</c:v>
                </c:pt>
                <c:pt idx="2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E0-4FFB-8136-4A87E5028FA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tx1">
            <a:lumMod val="85000"/>
            <a:lumOff val="15000"/>
          </a:schemeClr>
        </a:solidFill>
        <a:ln>
          <a:solidFill>
            <a:schemeClr val="bg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lang="en-US" sz="1100" b="0" i="0" u="none" strike="noStrike" kern="1200" baseline="0">
              <a:ln>
                <a:noFill/>
              </a:ln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automática.xlsm]análise_temporal!análise_temporal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Transações por Datas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28575" cap="rnd">
            <a:solidFill>
              <a:srgbClr val="F7FF8B"/>
            </a:solidFill>
            <a:round/>
          </a:ln>
          <a:effectLst/>
        </c:spPr>
        <c:marker>
          <c:symbol val="circle"/>
          <c:size val="5"/>
          <c:spPr>
            <a:solidFill>
              <a:srgbClr val="F7FF8B"/>
            </a:solidFill>
            <a:ln w="9525">
              <a:solidFill>
                <a:srgbClr val="F7FF8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0C9DE"/>
            </a:solidFill>
            <a:round/>
          </a:ln>
          <a:effectLst/>
        </c:spPr>
        <c:marker>
          <c:symbol val="circle"/>
          <c:size val="5"/>
          <c:spPr>
            <a:solidFill>
              <a:srgbClr val="00C9DE"/>
            </a:solidFill>
            <a:ln w="9525">
              <a:solidFill>
                <a:srgbClr val="00C9D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C99FF"/>
            </a:solidFill>
            <a:round/>
          </a:ln>
          <a:effectLst/>
        </c:spPr>
        <c:marker>
          <c:symbol val="circle"/>
          <c:size val="5"/>
          <c:spPr>
            <a:solidFill>
              <a:srgbClr val="CC99FF"/>
            </a:solidFill>
            <a:ln w="9525">
              <a:solidFill>
                <a:srgbClr val="CC99F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análise_temporal!$B$3:$B$4</c:f>
              <c:strCache>
                <c:ptCount val="1"/>
                <c:pt idx="0">
                  <c:v>Gasto</c:v>
                </c:pt>
              </c:strCache>
            </c:strRef>
          </c:tx>
          <c:spPr>
            <a:ln w="28575" cap="rnd">
              <a:solidFill>
                <a:srgbClr val="F7FF8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7FF8B"/>
              </a:solidFill>
              <a:ln w="9525">
                <a:solidFill>
                  <a:srgbClr val="F7FF8B"/>
                </a:solidFill>
              </a:ln>
              <a:effectLst/>
            </c:spPr>
          </c:marker>
          <c:cat>
            <c:strRef>
              <c:f>análise_temporal!$A$5:$A$9</c:f>
              <c:strCache>
                <c:ptCount val="4"/>
                <c:pt idx="0">
                  <c:v>07/08/2025</c:v>
                </c:pt>
                <c:pt idx="1">
                  <c:v>10/08/2025</c:v>
                </c:pt>
                <c:pt idx="2">
                  <c:v>06/08/2025</c:v>
                </c:pt>
                <c:pt idx="3">
                  <c:v>11/08/2025</c:v>
                </c:pt>
              </c:strCache>
            </c:strRef>
          </c:cat>
          <c:val>
            <c:numRef>
              <c:f>análise_temporal!$B$5:$B$9</c:f>
              <c:numCache>
                <c:formatCode>"R$"\ #,##0.00</c:formatCode>
                <c:ptCount val="4"/>
                <c:pt idx="0">
                  <c:v>411.7</c:v>
                </c:pt>
                <c:pt idx="1">
                  <c:v>1598.43</c:v>
                </c:pt>
                <c:pt idx="3">
                  <c:v>1430.25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0-4989-965A-C711B3D9B738}"/>
            </c:ext>
          </c:extLst>
        </c:ser>
        <c:ser>
          <c:idx val="1"/>
          <c:order val="1"/>
          <c:tx>
            <c:strRef>
              <c:f>análise_temporal!$C$3:$C$4</c:f>
              <c:strCache>
                <c:ptCount val="1"/>
                <c:pt idx="0">
                  <c:v>Investimento</c:v>
                </c:pt>
              </c:strCache>
            </c:strRef>
          </c:tx>
          <c:spPr>
            <a:ln w="28575" cap="rnd">
              <a:solidFill>
                <a:srgbClr val="00C9D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C9DE"/>
              </a:solidFill>
              <a:ln w="9525">
                <a:solidFill>
                  <a:srgbClr val="00C9DE"/>
                </a:solidFill>
              </a:ln>
              <a:effectLst/>
            </c:spPr>
          </c:marker>
          <c:cat>
            <c:strRef>
              <c:f>análise_temporal!$A$5:$A$9</c:f>
              <c:strCache>
                <c:ptCount val="4"/>
                <c:pt idx="0">
                  <c:v>07/08/2025</c:v>
                </c:pt>
                <c:pt idx="1">
                  <c:v>10/08/2025</c:v>
                </c:pt>
                <c:pt idx="2">
                  <c:v>06/08/2025</c:v>
                </c:pt>
                <c:pt idx="3">
                  <c:v>11/08/2025</c:v>
                </c:pt>
              </c:strCache>
            </c:strRef>
          </c:cat>
          <c:val>
            <c:numRef>
              <c:f>análise_temporal!$C$5:$C$9</c:f>
              <c:numCache>
                <c:formatCode>"R$"\ #,##0.00</c:formatCode>
                <c:ptCount val="4"/>
                <c:pt idx="0">
                  <c:v>300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D84-4712-8E26-A242624D85D7}"/>
            </c:ext>
          </c:extLst>
        </c:ser>
        <c:ser>
          <c:idx val="2"/>
          <c:order val="2"/>
          <c:tx>
            <c:strRef>
              <c:f>análise_temporal!$D$3:$D$4</c:f>
              <c:strCache>
                <c:ptCount val="1"/>
                <c:pt idx="0">
                  <c:v>Renda</c:v>
                </c:pt>
              </c:strCache>
            </c:strRef>
          </c:tx>
          <c:spPr>
            <a:ln w="28575" cap="rnd">
              <a:solidFill>
                <a:srgbClr val="CC99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C99FF"/>
              </a:solidFill>
              <a:ln w="9525">
                <a:solidFill>
                  <a:srgbClr val="CC99FF"/>
                </a:solidFill>
              </a:ln>
              <a:effectLst/>
            </c:spPr>
          </c:marker>
          <c:cat>
            <c:strRef>
              <c:f>análise_temporal!$A$5:$A$9</c:f>
              <c:strCache>
                <c:ptCount val="4"/>
                <c:pt idx="0">
                  <c:v>07/08/2025</c:v>
                </c:pt>
                <c:pt idx="1">
                  <c:v>10/08/2025</c:v>
                </c:pt>
                <c:pt idx="2">
                  <c:v>06/08/2025</c:v>
                </c:pt>
                <c:pt idx="3">
                  <c:v>11/08/2025</c:v>
                </c:pt>
              </c:strCache>
            </c:strRef>
          </c:cat>
          <c:val>
            <c:numRef>
              <c:f>análise_temporal!$D$5:$D$9</c:f>
              <c:numCache>
                <c:formatCode>"R$"\ #,##0.00</c:formatCode>
                <c:ptCount val="4"/>
                <c:pt idx="0">
                  <c:v>2000</c:v>
                </c:pt>
                <c:pt idx="3">
                  <c:v>1074.33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D84-4712-8E26-A242624D8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157455"/>
        <c:axId val="676137775"/>
      </c:lineChart>
      <c:catAx>
        <c:axId val="676157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6137775"/>
        <c:crosses val="autoZero"/>
        <c:auto val="1"/>
        <c:lblAlgn val="ctr"/>
        <c:lblOffset val="100"/>
        <c:noMultiLvlLbl val="0"/>
      </c:catAx>
      <c:valAx>
        <c:axId val="6761377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out"/>
        <c:minorTickMark val="none"/>
        <c:tickLblPos val="nextTo"/>
        <c:crossAx val="67615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automática.xlsm]análise_gasto_categoria!Gastos_Categoria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Helvetica" panose="020B0604020202020204" pitchFamily="34" charset="0"/>
              </a:rPr>
              <a:t>Gastos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F7FF8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Helvetica" panose="020B06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análise_gasto_categoria!$B$3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análise_gasto_categoria!$A$4:$A$8</c:f>
              <c:strCache>
                <c:ptCount val="4"/>
                <c:pt idx="0">
                  <c:v>Auto-cuidado</c:v>
                </c:pt>
                <c:pt idx="1">
                  <c:v>Lazer</c:v>
                </c:pt>
                <c:pt idx="2">
                  <c:v>Educação</c:v>
                </c:pt>
                <c:pt idx="3">
                  <c:v>Presente</c:v>
                </c:pt>
              </c:strCache>
            </c:strRef>
          </c:cat>
          <c:val>
            <c:numRef>
              <c:f>análise_gasto_categoria!$B$4:$B$8</c:f>
              <c:numCache>
                <c:formatCode>"R$"\ #,##0.00</c:formatCode>
                <c:ptCount val="4"/>
                <c:pt idx="0">
                  <c:v>233</c:v>
                </c:pt>
                <c:pt idx="1">
                  <c:v>2916</c:v>
                </c:pt>
                <c:pt idx="2">
                  <c:v>214</c:v>
                </c:pt>
                <c:pt idx="3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BF-4C2E-9D7C-F709F202FF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76154095"/>
        <c:axId val="676131535"/>
      </c:barChart>
      <c:catAx>
        <c:axId val="676154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Helvetica" panose="020B0604020202020204" pitchFamily="34" charset="0"/>
                <a:ea typeface="+mn-ea"/>
                <a:cs typeface="+mn-cs"/>
              </a:defRPr>
            </a:pPr>
            <a:endParaRPr lang="pt-BR"/>
          </a:p>
        </c:txPr>
        <c:crossAx val="676131535"/>
        <c:crosses val="autoZero"/>
        <c:auto val="1"/>
        <c:lblAlgn val="ctr"/>
        <c:lblOffset val="100"/>
        <c:noMultiLvlLbl val="0"/>
      </c:catAx>
      <c:valAx>
        <c:axId val="676131535"/>
        <c:scaling>
          <c:orientation val="minMax"/>
        </c:scaling>
        <c:delete val="1"/>
        <c:axPos val="l"/>
        <c:numFmt formatCode="&quot;R$&quot;\ #,##0.00" sourceLinked="1"/>
        <c:majorTickMark val="out"/>
        <c:minorTickMark val="none"/>
        <c:tickLblPos val="nextTo"/>
        <c:crossAx val="676154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automática.xlsm]economias!Economias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Helvetica" panose="020B0604020202020204"/>
                <a:ea typeface="+mn-ea"/>
                <a:cs typeface="+mn-cs"/>
              </a:defRPr>
            </a:pPr>
            <a:r>
              <a:rPr lang="en-US" baseline="0">
                <a:latin typeface="Helvetica" panose="020B0604020202020204"/>
              </a:rPr>
              <a:t>Economias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Helvetica" panose="020B0604020202020204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1">
                <a:lumMod val="85000"/>
                <a:lumOff val="15000"/>
              </a:schemeClr>
            </a:solidFill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Helvetica" panose="020B0604020202020204" pitchFamily="34" charset="0"/>
                  <a:ea typeface="+mn-ea"/>
                  <a:cs typeface="Helvetica" panose="020B0604020202020204" pitchFamily="34" charset="0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66CC"/>
          </a:solidFill>
          <a:ln>
            <a:noFill/>
          </a:ln>
          <a:effectLst/>
        </c:spPr>
      </c:pivotFmt>
      <c:pivotFmt>
        <c:idx val="5"/>
        <c:spPr>
          <a:solidFill>
            <a:srgbClr val="FFFFCC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economias!$B$4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66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8DB-4D52-AE7B-7A7681183D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8DB-4D52-AE7B-7A7681183D8D}"/>
              </c:ext>
            </c:extLst>
          </c:dPt>
          <c:dLbls>
            <c:spPr>
              <a:solidFill>
                <a:schemeClr val="tx1">
                  <a:lumMod val="85000"/>
                  <a:lumOff val="15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Helvetica" panose="020B0604020202020204" pitchFamily="34" charset="0"/>
                    <a:ea typeface="+mn-ea"/>
                    <a:cs typeface="Helvetica" panose="020B0604020202020204" pitchFamily="34" charset="0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economias!$A$5:$A$7</c:f>
              <c:strCache>
                <c:ptCount val="2"/>
                <c:pt idx="0">
                  <c:v>CDB</c:v>
                </c:pt>
                <c:pt idx="1">
                  <c:v>Criptomoeda</c:v>
                </c:pt>
              </c:strCache>
            </c:strRef>
          </c:cat>
          <c:val>
            <c:numRef>
              <c:f>economias!$B$5:$B$7</c:f>
              <c:numCache>
                <c:formatCode>"R$"\ #,##0.00</c:formatCode>
                <c:ptCount val="2"/>
                <c:pt idx="0">
                  <c:v>300</c:v>
                </c:pt>
                <c:pt idx="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DB-4D52-AE7B-7A7681183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chart" Target="../charts/chart4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428624</xdr:colOff>
      <xdr:row>3</xdr:row>
      <xdr:rowOff>142876</xdr:rowOff>
    </xdr:from>
    <xdr:to>
      <xdr:col>8</xdr:col>
      <xdr:colOff>223874</xdr:colOff>
      <xdr:row>4</xdr:row>
      <xdr:rowOff>168376</xdr:rowOff>
    </xdr:to>
    <xdr:sp macro="[0]!ExcluirTodosRegistros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20087C8-FDD0-B3B7-1060-D3212E5A1F45}"/>
            </a:ext>
          </a:extLst>
        </xdr:cNvPr>
        <xdr:cNvSpPr>
          <a:spLocks/>
        </xdr:cNvSpPr>
      </xdr:nvSpPr>
      <xdr:spPr>
        <a:xfrm>
          <a:off x="4972049" y="714376"/>
          <a:ext cx="1224000" cy="216000"/>
        </a:xfrm>
        <a:prstGeom prst="roundRect">
          <a:avLst/>
        </a:prstGeom>
        <a:solidFill>
          <a:srgbClr val="660066"/>
        </a:solidFill>
        <a:ln w="635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 b="1" baseline="0">
              <a:solidFill>
                <a:schemeClr val="lt1"/>
              </a:solidFill>
              <a:latin typeface="Helvetica" panose="020B0604020202020204" pitchFamily="34" charset="0"/>
              <a:ea typeface="MS Gothic" panose="020B0609070205080204" pitchFamily="49" charset="-128"/>
              <a:cs typeface="Helvetica" panose="020B0604020202020204" pitchFamily="34" charset="0"/>
            </a:rPr>
            <a:t>LIMPAR</a:t>
          </a:r>
          <a:r>
            <a:rPr lang="pt-BR" sz="800" b="1" baseline="0">
              <a:latin typeface="Helvetica" panose="020B0604020202020204" pitchFamily="34" charset="0"/>
              <a:ea typeface="MS Gothic" panose="020B0609070205080204" pitchFamily="49" charset="-128"/>
              <a:cs typeface="Helvetica" panose="020B0604020202020204" pitchFamily="34" charset="0"/>
            </a:rPr>
            <a:t> REGISTROS</a:t>
          </a:r>
        </a:p>
        <a:p>
          <a:pPr algn="l"/>
          <a:endParaRPr lang="pt-BR" sz="800" b="1">
            <a:latin typeface="Helvetica" panose="020B0604020202020204" pitchFamily="34" charset="0"/>
            <a:ea typeface="MS Gothic" panose="020B0609070205080204" pitchFamily="49" charset="-128"/>
            <a:cs typeface="Helvetica" panose="020B0604020202020204" pitchFamily="34" charset="0"/>
          </a:endParaRPr>
        </a:p>
      </xdr:txBody>
    </xdr:sp>
    <xdr:clientData/>
  </xdr:twoCellAnchor>
  <xdr:twoCellAnchor>
    <xdr:from>
      <xdr:col>6</xdr:col>
      <xdr:colOff>428623</xdr:colOff>
      <xdr:row>2</xdr:row>
      <xdr:rowOff>47625</xdr:rowOff>
    </xdr:from>
    <xdr:to>
      <xdr:col>8</xdr:col>
      <xdr:colOff>115873</xdr:colOff>
      <xdr:row>3</xdr:row>
      <xdr:rowOff>73125</xdr:rowOff>
    </xdr:to>
    <xdr:sp macro="[0]!CopiarRegistrosEntreTabela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68177B8-D9F0-E1E1-B8C1-39FA6D3A9053}"/>
            </a:ext>
          </a:extLst>
        </xdr:cNvPr>
        <xdr:cNvSpPr/>
      </xdr:nvSpPr>
      <xdr:spPr>
        <a:xfrm>
          <a:off x="4972048" y="428625"/>
          <a:ext cx="1116000" cy="216000"/>
        </a:xfrm>
        <a:prstGeom prst="roundRect">
          <a:avLst/>
        </a:prstGeom>
        <a:solidFill>
          <a:srgbClr val="660066"/>
        </a:solidFill>
        <a:ln w="6350">
          <a:solidFill>
            <a:schemeClr val="bg1"/>
          </a:solidFill>
        </a:ln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 b="1">
              <a:latin typeface="Helvetica" panose="020B0604020202020204" pitchFamily="34" charset="0"/>
              <a:ea typeface="MS Gothic" panose="020B0609070205080204" pitchFamily="49" charset="-128"/>
              <a:cs typeface="Helvetica" panose="020B0604020202020204" pitchFamily="34" charset="0"/>
            </a:rPr>
            <a:t>ADICIONAR</a:t>
          </a:r>
          <a:r>
            <a:rPr lang="pt-BR" sz="800" b="1" baseline="0">
              <a:latin typeface="Helvetica" panose="020B0604020202020204" pitchFamily="34" charset="0"/>
              <a:ea typeface="MS Gothic" panose="020B0609070205080204" pitchFamily="49" charset="-128"/>
              <a:cs typeface="Helvetica" panose="020B0604020202020204" pitchFamily="34" charset="0"/>
            </a:rPr>
            <a:t> FIXOS</a:t>
          </a:r>
        </a:p>
        <a:p>
          <a:pPr algn="l"/>
          <a:endParaRPr lang="pt-BR" sz="800" b="1">
            <a:latin typeface="Helvetica" panose="020B0604020202020204" pitchFamily="34" charset="0"/>
            <a:ea typeface="MS Gothic" panose="020B0609070205080204" pitchFamily="49" charset="-128"/>
            <a:cs typeface="Helvetica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358588</xdr:colOff>
      <xdr:row>1</xdr:row>
      <xdr:rowOff>0</xdr:rowOff>
    </xdr:from>
    <xdr:ext cx="8426149" cy="1766509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B86A2A06-FA92-CCF4-DE03-23821B00FEF5}"/>
            </a:ext>
          </a:extLst>
        </xdr:cNvPr>
        <xdr:cNvSpPr txBox="1"/>
      </xdr:nvSpPr>
      <xdr:spPr>
        <a:xfrm>
          <a:off x="358588" y="190500"/>
          <a:ext cx="8426149" cy="1766509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4800" b="1">
              <a:ln w="19050">
                <a:solidFill>
                  <a:srgbClr val="FFFFFF">
                    <a:alpha val="99000"/>
                  </a:srgbClr>
                </a:solidFill>
              </a:ln>
              <a:solidFill>
                <a:srgbClr val="660066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Kristen ITC" panose="03050502040202030202" pitchFamily="66" charset="0"/>
            </a:rPr>
            <a:t>RESUMO FINANCEIRO</a:t>
          </a:r>
        </a:p>
        <a:p>
          <a:endParaRPr lang="pt-BR" sz="4800" b="1">
            <a:ln>
              <a:solidFill>
                <a:srgbClr val="FFFFFF">
                  <a:alpha val="99000"/>
                </a:srgb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  <a:latin typeface="Kristen ITC" panose="03050502040202030202" pitchFamily="66" charset="0"/>
          </a:endParaRPr>
        </a:p>
      </xdr:txBody>
    </xdr:sp>
    <xdr:clientData/>
  </xdr:oneCellAnchor>
  <xdr:twoCellAnchor>
    <xdr:from>
      <xdr:col>8</xdr:col>
      <xdr:colOff>293443</xdr:colOff>
      <xdr:row>16</xdr:row>
      <xdr:rowOff>11206</xdr:rowOff>
    </xdr:from>
    <xdr:to>
      <xdr:col>15</xdr:col>
      <xdr:colOff>392206</xdr:colOff>
      <xdr:row>30</xdr:row>
      <xdr:rowOff>115101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0015A34-C46F-4CAC-8748-E20910F1E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345452</xdr:colOff>
      <xdr:row>2</xdr:row>
      <xdr:rowOff>164615</xdr:rowOff>
    </xdr:from>
    <xdr:to>
      <xdr:col>16</xdr:col>
      <xdr:colOff>257735</xdr:colOff>
      <xdr:row>10</xdr:row>
      <xdr:rowOff>56030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Tipo">
              <a:extLst>
                <a:ext uri="{FF2B5EF4-FFF2-40B4-BE49-F238E27FC236}">
                  <a16:creationId xmlns:a16="http://schemas.microsoft.com/office/drawing/2014/main" id="{693A946E-A8CC-F8AC-0E9F-B9EDD1E393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27687" y="1217968"/>
              <a:ext cx="1839695" cy="14154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76842</xdr:colOff>
      <xdr:row>16</xdr:row>
      <xdr:rowOff>144907</xdr:rowOff>
    </xdr:from>
    <xdr:to>
      <xdr:col>8</xdr:col>
      <xdr:colOff>55071</xdr:colOff>
      <xdr:row>29</xdr:row>
      <xdr:rowOff>101369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BE7B94B8-1C0B-7A36-EE9F-FD489FEDB051}"/>
            </a:ext>
          </a:extLst>
        </xdr:cNvPr>
        <xdr:cNvGrpSpPr/>
      </xdr:nvGrpSpPr>
      <xdr:grpSpPr>
        <a:xfrm>
          <a:off x="1522401" y="3865260"/>
          <a:ext cx="2387494" cy="2432962"/>
          <a:chOff x="1061358" y="2803102"/>
          <a:chExt cx="2427515" cy="2432962"/>
        </a:xfrm>
        <a:effectLst>
          <a:outerShdw blurRad="63500" sx="102000" sy="102000" algn="ctr" rotWithShape="0">
            <a:prstClr val="black">
              <a:alpha val="40000"/>
            </a:prstClr>
          </a:outerShdw>
        </a:effectLst>
      </xdr:grpSpPr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58CADEDD-7E88-B36A-5393-B1A0C6C17F2C}"/>
              </a:ext>
            </a:extLst>
          </xdr:cNvPr>
          <xdr:cNvSpPr/>
        </xdr:nvSpPr>
        <xdr:spPr>
          <a:xfrm>
            <a:off x="1134836" y="2830285"/>
            <a:ext cx="2326822" cy="2354036"/>
          </a:xfrm>
          <a:prstGeom prst="roundRect">
            <a:avLst/>
          </a:prstGeom>
          <a:solidFill>
            <a:srgbClr val="660066"/>
          </a:solidFill>
          <a:ln>
            <a:noFill/>
          </a:ln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" name="ImagemFeliz" hidden="1">
            <a:extLst>
              <a:ext uri="{FF2B5EF4-FFF2-40B4-BE49-F238E27FC236}">
                <a16:creationId xmlns:a16="http://schemas.microsoft.com/office/drawing/2014/main" id="{B31A6506-C9C3-6698-80D9-C171990EF5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133" y="2803102"/>
            <a:ext cx="2235063" cy="2406084"/>
          </a:xfrm>
          <a:prstGeom prst="rect">
            <a:avLst/>
          </a:prstGeom>
          <a:ln>
            <a:noFill/>
          </a:ln>
        </xdr:spPr>
      </xdr:pic>
      <xdr:pic>
        <xdr:nvPicPr>
          <xdr:cNvPr id="9" name="ImagemNeutra" hidden="1">
            <a:extLst>
              <a:ext uri="{FF2B5EF4-FFF2-40B4-BE49-F238E27FC236}">
                <a16:creationId xmlns:a16="http://schemas.microsoft.com/office/drawing/2014/main" id="{170CBB76-FD84-D57F-3BAE-296E78CC49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7420" y="2894986"/>
            <a:ext cx="2404102" cy="2283893"/>
          </a:xfrm>
          <a:prstGeom prst="rect">
            <a:avLst/>
          </a:prstGeom>
          <a:ln>
            <a:noFill/>
          </a:ln>
        </xdr:spPr>
      </xdr:pic>
      <xdr:pic>
        <xdr:nvPicPr>
          <xdr:cNvPr id="11" name="ImagemTriste">
            <a:extLst>
              <a:ext uri="{FF2B5EF4-FFF2-40B4-BE49-F238E27FC236}">
                <a16:creationId xmlns:a16="http://schemas.microsoft.com/office/drawing/2014/main" id="{08403A19-AF6E-205B-F9E7-5D4B08583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61358" y="2860348"/>
            <a:ext cx="2427515" cy="2375716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8</xdr:col>
      <xdr:colOff>313445</xdr:colOff>
      <xdr:row>2</xdr:row>
      <xdr:rowOff>169689</xdr:rowOff>
    </xdr:from>
    <xdr:to>
      <xdr:col>12</xdr:col>
      <xdr:colOff>182816</xdr:colOff>
      <xdr:row>10</xdr:row>
      <xdr:rowOff>33618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ategoria">
              <a:extLst>
                <a:ext uri="{FF2B5EF4-FFF2-40B4-BE49-F238E27FC236}">
                  <a16:creationId xmlns:a16="http://schemas.microsoft.com/office/drawing/2014/main" id="{9706416C-25F1-BC1E-D49C-DEB1CA08AA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68269" y="1223042"/>
              <a:ext cx="1796782" cy="13879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214511</xdr:colOff>
      <xdr:row>15</xdr:row>
      <xdr:rowOff>167288</xdr:rowOff>
    </xdr:from>
    <xdr:to>
      <xdr:col>3</xdr:col>
      <xdr:colOff>107014</xdr:colOff>
      <xdr:row>17</xdr:row>
      <xdr:rowOff>58431</xdr:rowOff>
    </xdr:to>
    <xdr:sp macro="[0]!Atualizar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FF803365-D9EE-26E7-1AC4-5058D2C98670}"/>
            </a:ext>
          </a:extLst>
        </xdr:cNvPr>
        <xdr:cNvSpPr/>
      </xdr:nvSpPr>
      <xdr:spPr>
        <a:xfrm>
          <a:off x="696364" y="3697141"/>
          <a:ext cx="856209" cy="272143"/>
        </a:xfrm>
        <a:prstGeom prst="roundRect">
          <a:avLst/>
        </a:prstGeom>
        <a:solidFill>
          <a:srgbClr val="660066"/>
        </a:solidFill>
        <a:ln w="6350"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latin typeface="Helvetica" panose="020B0604020202020204" pitchFamily="34" charset="0"/>
              <a:cs typeface="Helvetica" panose="020B0604020202020204" pitchFamily="34" charset="0"/>
            </a:rPr>
            <a:t>Atualizar</a:t>
          </a:r>
        </a:p>
        <a:p>
          <a:pPr algn="l"/>
          <a:endParaRPr lang="pt-BR" sz="1200" b="1">
            <a:latin typeface="Helvetica" panose="020B0604020202020204" pitchFamily="34" charset="0"/>
            <a:cs typeface="Helvetica" panose="020B0604020202020204" pitchFamily="34" charset="0"/>
          </a:endParaRPr>
        </a:p>
      </xdr:txBody>
    </xdr:sp>
    <xdr:clientData/>
  </xdr:twoCellAnchor>
  <xdr:twoCellAnchor>
    <xdr:from>
      <xdr:col>1</xdr:col>
      <xdr:colOff>235325</xdr:colOff>
      <xdr:row>47</xdr:row>
      <xdr:rowOff>78441</xdr:rowOff>
    </xdr:from>
    <xdr:to>
      <xdr:col>12</xdr:col>
      <xdr:colOff>33619</xdr:colOff>
      <xdr:row>61</xdr:row>
      <xdr:rowOff>78441</xdr:rowOff>
    </xdr:to>
    <xdr:graphicFrame macro="">
      <xdr:nvGraphicFramePr>
        <xdr:cNvPr id="14" name="Gastos por categoria">
          <a:extLst>
            <a:ext uri="{FF2B5EF4-FFF2-40B4-BE49-F238E27FC236}">
              <a16:creationId xmlns:a16="http://schemas.microsoft.com/office/drawing/2014/main" id="{94401A62-60C2-4440-BD2B-5FCF50A0B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313765</xdr:colOff>
      <xdr:row>31</xdr:row>
      <xdr:rowOff>33618</xdr:rowOff>
    </xdr:from>
    <xdr:to>
      <xdr:col>17</xdr:col>
      <xdr:colOff>212912</xdr:colOff>
      <xdr:row>45</xdr:row>
      <xdr:rowOff>168090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4C6EBD93-76CB-4338-8050-18334AEFF1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403414</xdr:colOff>
      <xdr:row>11</xdr:row>
      <xdr:rowOff>89650</xdr:rowOff>
    </xdr:from>
    <xdr:to>
      <xdr:col>11</xdr:col>
      <xdr:colOff>324971</xdr:colOff>
      <xdr:row>14</xdr:row>
      <xdr:rowOff>11208</xdr:rowOff>
    </xdr:to>
    <xdr:sp macro="" textlink="análise_tipo!L5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BABDB76-A2B8-947D-9B07-A22DFC2EF1B6}"/>
            </a:ext>
          </a:extLst>
        </xdr:cNvPr>
        <xdr:cNvSpPr/>
      </xdr:nvSpPr>
      <xdr:spPr>
        <a:xfrm>
          <a:off x="3294532" y="2857503"/>
          <a:ext cx="2330821" cy="493058"/>
        </a:xfrm>
        <a:prstGeom prst="roundRect">
          <a:avLst/>
        </a:prstGeom>
        <a:solidFill>
          <a:srgbClr val="660066"/>
        </a:solidFill>
        <a:ln w="6350"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D17C3DF2-5198-486B-BE38-5250548967A2}" type="TxLink">
            <a:rPr lang="en-US" sz="2000" b="0" i="0" u="none" strike="noStrike">
              <a:solidFill>
                <a:schemeClr val="bg1"/>
              </a:solidFill>
              <a:latin typeface="Helvetica" panose="020B0604020202020204" pitchFamily="34" charset="0"/>
              <a:cs typeface="Helvetica" panose="020B0604020202020204" pitchFamily="34" charset="0"/>
            </a:rPr>
            <a:pPr algn="l"/>
            <a:t>Gasto: 3440,38</a:t>
          </a:fld>
          <a:endParaRPr lang="pt-BR" sz="2000">
            <a:solidFill>
              <a:schemeClr val="bg1"/>
            </a:solidFill>
            <a:latin typeface="Helvetica" panose="020B0604020202020204" pitchFamily="34" charset="0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6726</xdr:colOff>
      <xdr:row>11</xdr:row>
      <xdr:rowOff>107577</xdr:rowOff>
    </xdr:from>
    <xdr:to>
      <xdr:col>16</xdr:col>
      <xdr:colOff>246530</xdr:colOff>
      <xdr:row>14</xdr:row>
      <xdr:rowOff>33617</xdr:rowOff>
    </xdr:to>
    <xdr:sp macro="" textlink="análise_tipo!L7">
      <xdr:nvSpPr>
        <xdr:cNvPr id="17" name="Retângulo: Cantos Arredondados 16">
          <a:extLst>
            <a:ext uri="{FF2B5EF4-FFF2-40B4-BE49-F238E27FC236}">
              <a16:creationId xmlns:a16="http://schemas.microsoft.com/office/drawing/2014/main" id="{3EE015CC-8A72-4F25-A9E4-7CCB09638BA8}"/>
            </a:ext>
          </a:extLst>
        </xdr:cNvPr>
        <xdr:cNvSpPr/>
      </xdr:nvSpPr>
      <xdr:spPr>
        <a:xfrm>
          <a:off x="5788961" y="2875430"/>
          <a:ext cx="2167216" cy="497540"/>
        </a:xfrm>
        <a:prstGeom prst="roundRect">
          <a:avLst/>
        </a:prstGeom>
        <a:solidFill>
          <a:srgbClr val="660066"/>
        </a:solidFill>
        <a:ln w="6350"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4B0CCD19-2649-4820-B0C1-8112BF27F792}" type="TxLink">
            <a:rPr lang="en-US" sz="1600" b="0" i="0" u="none" strike="noStrike">
              <a:solidFill>
                <a:schemeClr val="bg1"/>
              </a:solidFill>
              <a:latin typeface="Helvetica" panose="020B0604020202020204" pitchFamily="34" charset="0"/>
              <a:ea typeface="+mn-ea"/>
              <a:cs typeface="Helvetica" panose="020B0604020202020204" pitchFamily="34" charset="0"/>
            </a:rPr>
            <a:pPr marL="0" indent="0" algn="l"/>
            <a:t>Investimento: 450</a:t>
          </a:fld>
          <a:endParaRPr lang="pt-BR" sz="1600" b="0" i="0" u="none" strike="noStrike">
            <a:solidFill>
              <a:schemeClr val="bg1"/>
            </a:solidFill>
            <a:latin typeface="Helvetica" panose="020B0604020202020204" pitchFamily="34" charset="0"/>
            <a:ea typeface="+mn-ea"/>
            <a:cs typeface="Helvetica" panose="020B0604020202020204" pitchFamily="34" charset="0"/>
          </a:endParaRPr>
        </a:p>
      </xdr:txBody>
    </xdr:sp>
    <xdr:clientData/>
  </xdr:twoCellAnchor>
  <xdr:twoCellAnchor>
    <xdr:from>
      <xdr:col>1</xdr:col>
      <xdr:colOff>248773</xdr:colOff>
      <xdr:row>11</xdr:row>
      <xdr:rowOff>80684</xdr:rowOff>
    </xdr:from>
    <xdr:to>
      <xdr:col>6</xdr:col>
      <xdr:colOff>156882</xdr:colOff>
      <xdr:row>14</xdr:row>
      <xdr:rowOff>2242</xdr:rowOff>
    </xdr:to>
    <xdr:sp macro="" textlink="análise_tipo!L6">
      <xdr:nvSpPr>
        <xdr:cNvPr id="18" name="Retângulo: Cantos Arredondados 17">
          <a:extLst>
            <a:ext uri="{FF2B5EF4-FFF2-40B4-BE49-F238E27FC236}">
              <a16:creationId xmlns:a16="http://schemas.microsoft.com/office/drawing/2014/main" id="{6C6CBC8D-D86C-4B5E-8E82-638524BB60B7}"/>
            </a:ext>
          </a:extLst>
        </xdr:cNvPr>
        <xdr:cNvSpPr/>
      </xdr:nvSpPr>
      <xdr:spPr>
        <a:xfrm>
          <a:off x="730626" y="2848537"/>
          <a:ext cx="2317374" cy="493058"/>
        </a:xfrm>
        <a:prstGeom prst="roundRect">
          <a:avLst/>
        </a:prstGeom>
        <a:solidFill>
          <a:srgbClr val="660066"/>
        </a:solidFill>
        <a:ln w="6350"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6912346D-0AED-458A-8772-4FDB8149EEAD}" type="TxLink">
            <a:rPr lang="en-US" sz="1800" b="0" i="0" u="none" strike="noStrike">
              <a:solidFill>
                <a:schemeClr val="bg1"/>
              </a:solidFill>
              <a:latin typeface="Helvetica" panose="020B0604020202020204" pitchFamily="34" charset="0"/>
              <a:ea typeface="+mn-ea"/>
              <a:cs typeface="Helvetica" panose="020B0604020202020204" pitchFamily="34" charset="0"/>
            </a:rPr>
            <a:pPr marL="0" indent="0" algn="l"/>
            <a:t>Renda: 3074,33</a:t>
          </a:fld>
          <a:endParaRPr lang="pt-BR" sz="1800" b="0" i="0" u="none" strike="noStrike">
            <a:solidFill>
              <a:schemeClr val="bg1"/>
            </a:solidFill>
            <a:latin typeface="Helvetica" panose="020B0604020202020204" pitchFamily="34" charset="0"/>
            <a:ea typeface="+mn-ea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201707</xdr:colOff>
      <xdr:row>65</xdr:row>
      <xdr:rowOff>78442</xdr:rowOff>
    </xdr:from>
    <xdr:to>
      <xdr:col>11</xdr:col>
      <xdr:colOff>437031</xdr:colOff>
      <xdr:row>79</xdr:row>
      <xdr:rowOff>154642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1F81B92-9A9C-47E8-A799-66A525F817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134471</xdr:colOff>
      <xdr:row>2</xdr:row>
      <xdr:rowOff>168089</xdr:rowOff>
    </xdr:from>
    <xdr:to>
      <xdr:col>8</xdr:col>
      <xdr:colOff>95250</xdr:colOff>
      <xdr:row>10</xdr:row>
      <xdr:rowOff>15689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0" name="Data 2">
              <a:extLst>
                <a:ext uri="{FF2B5EF4-FFF2-40B4-BE49-F238E27FC236}">
                  <a16:creationId xmlns:a16="http://schemas.microsoft.com/office/drawing/2014/main" id="{12EC8C3E-59FE-49DD-AA60-A97ED6B9E3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6324" y="1221442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123266</xdr:colOff>
      <xdr:row>55</xdr:row>
      <xdr:rowOff>22412</xdr:rowOff>
    </xdr:from>
    <xdr:to>
      <xdr:col>15</xdr:col>
      <xdr:colOff>336177</xdr:colOff>
      <xdr:row>61</xdr:row>
      <xdr:rowOff>123266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Categoria 2">
              <a:extLst>
                <a:ext uri="{FF2B5EF4-FFF2-40B4-BE49-F238E27FC236}">
                  <a16:creationId xmlns:a16="http://schemas.microsoft.com/office/drawing/2014/main" id="{A14B5CF1-5531-4843-91AA-C1307CCAFE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05501" y="11172265"/>
              <a:ext cx="1658470" cy="124385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112059</xdr:colOff>
      <xdr:row>47</xdr:row>
      <xdr:rowOff>123265</xdr:rowOff>
    </xdr:from>
    <xdr:to>
      <xdr:col>19</xdr:col>
      <xdr:colOff>72838</xdr:colOff>
      <xdr:row>54</xdr:row>
      <xdr:rowOff>161365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3" name="Data">
              <a:extLst>
                <a:ext uri="{FF2B5EF4-FFF2-40B4-BE49-F238E27FC236}">
                  <a16:creationId xmlns:a16="http://schemas.microsoft.com/office/drawing/2014/main" id="{3601990B-F010-45E0-8F19-79468DE0AA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94294" y="9749118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8</xdr:col>
      <xdr:colOff>251163</xdr:colOff>
      <xdr:row>16</xdr:row>
      <xdr:rowOff>103895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4EFD2B-26D4-4BC8-810B-144B75363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138112</xdr:rowOff>
    </xdr:from>
    <xdr:to>
      <xdr:col>12</xdr:col>
      <xdr:colOff>552450</xdr:colOff>
      <xdr:row>17</xdr:row>
      <xdr:rowOff>23812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007CF1-1FF4-8B0F-EC7A-F2AE205DF3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599515</xdr:colOff>
      <xdr:row>2</xdr:row>
      <xdr:rowOff>180413</xdr:rowOff>
    </xdr:from>
    <xdr:to>
      <xdr:col>6</xdr:col>
      <xdr:colOff>229720</xdr:colOff>
      <xdr:row>17</xdr:row>
      <xdr:rowOff>66113</xdr:rowOff>
    </xdr:to>
    <xdr:graphicFrame macro="">
      <xdr:nvGraphicFramePr>
        <xdr:cNvPr id="3" name="Gastos por categoria">
          <a:extLst>
            <a:ext uri="{FF2B5EF4-FFF2-40B4-BE49-F238E27FC236}">
              <a16:creationId xmlns:a16="http://schemas.microsoft.com/office/drawing/2014/main" id="{6B297E95-28B6-2FE3-DADB-E39B75B4A8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872938</xdr:colOff>
      <xdr:row>6</xdr:row>
      <xdr:rowOff>114300</xdr:rowOff>
    </xdr:from>
    <xdr:to>
      <xdr:col>7</xdr:col>
      <xdr:colOff>1177739</xdr:colOff>
      <xdr:row>13</xdr:row>
      <xdr:rowOff>123265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tegoria 1">
              <a:extLst>
                <a:ext uri="{FF2B5EF4-FFF2-40B4-BE49-F238E27FC236}">
                  <a16:creationId xmlns:a16="http://schemas.microsoft.com/office/drawing/2014/main" id="{528955AB-B7FB-E7B4-1717-8D5410004B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0350" y="1257300"/>
              <a:ext cx="1828800" cy="13424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2</xdr:row>
      <xdr:rowOff>109537</xdr:rowOff>
    </xdr:from>
    <xdr:to>
      <xdr:col>9</xdr:col>
      <xdr:colOff>57150</xdr:colOff>
      <xdr:row>16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C978D30-AFD6-C95F-C140-DF63B82CC9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uan Buzone" refreshedDate="45869.749408680553" createdVersion="8" refreshedVersion="8" minRefreshableVersion="3" recordCount="14" xr:uid="{D6EAF7BE-0DCA-4257-BB44-C12582199190}">
  <cacheSource type="worksheet">
    <worksheetSource name="tabela_transações"/>
  </cacheSource>
  <cacheFields count="7">
    <cacheField name="Data" numFmtId="14">
      <sharedItems containsSemiMixedTypes="0" containsNonDate="0" containsDate="1" containsString="0" minDate="2024-08-07T00:00:00" maxDate="2025-10-11T00:00:00" count="19">
        <d v="2025-08-07T00:00:00"/>
        <d v="2025-08-06T00:00:00"/>
        <d v="2025-08-10T00:00:00"/>
        <d v="2025-08-11T00:00:00"/>
        <d v="2025-08-08T00:00:00" u="1"/>
        <d v="2025-08-09T00:00:00" u="1"/>
        <d v="2024-08-07T00:00:00" u="1"/>
        <d v="2025-02-07T00:00:00" u="1"/>
        <d v="2025-03-08T00:00:00" u="1"/>
        <d v="2025-03-09T00:00:00" u="1"/>
        <d v="2025-03-10T00:00:00" u="1"/>
        <d v="2025-09-07T00:00:00" u="1"/>
        <d v="2025-06-07T00:00:00" u="1"/>
        <d v="2025-07-07T00:00:00" u="1"/>
        <d v="2025-06-08T00:00:00" u="1"/>
        <d v="2025-09-09T00:00:00" u="1"/>
        <d v="2025-10-10T00:00:00" u="1"/>
        <d v="2025-10-09T00:00:00" u="1"/>
        <d v="2024-08-08T00:00:00" u="1"/>
      </sharedItems>
    </cacheField>
    <cacheField name="Palavra-chave" numFmtId="49">
      <sharedItems/>
    </cacheField>
    <cacheField name="Categoria" numFmtId="49">
      <sharedItems containsBlank="1" count="9">
        <s v="Renda fixa"/>
        <s v="Economias"/>
        <s v="Lazer"/>
        <s v="Auto-cuidado"/>
        <s v="Educação"/>
        <s v="Presente"/>
        <s v="Renda extra"/>
        <s v="Alimentação" u="1"/>
        <m u="1"/>
      </sharedItems>
    </cacheField>
    <cacheField name="Tipo" numFmtId="49">
      <sharedItems containsBlank="1" count="4">
        <s v="Renda"/>
        <s v="Investimento"/>
        <s v="Gasto"/>
        <m u="1"/>
      </sharedItems>
    </cacheField>
    <cacheField name="Valor" numFmtId="164">
      <sharedItems containsSemiMixedTypes="0" containsString="0" containsNumber="1" minValue="35.9" maxValue="2000"/>
    </cacheField>
    <cacheField name="Saldo" numFmtId="164">
      <sharedItems containsSemiMixedTypes="0" containsString="0" containsNumber="1" minValue="-1548.43" maxValue="2000"/>
    </cacheField>
    <cacheField name="Saldo do investimento" numFmtId="0" formula=" SUM(Saldo) * -1" databaseField="0"/>
  </cacheFields>
  <extLst>
    <ext xmlns:x14="http://schemas.microsoft.com/office/spreadsheetml/2009/9/main" uri="{725AE2AE-9491-48be-B2B4-4EB974FC3084}">
      <x14:pivotCacheDefinition pivotCacheId="177165645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uan Buzone" refreshedDate="45869.749409027776" createdVersion="8" refreshedVersion="8" minRefreshableVersion="3" recordCount="9" xr:uid="{2A464E6D-4A0A-49CA-8F1D-AB550CABB084}">
  <cacheSource type="worksheet">
    <worksheetSource name="tabela_gastos"/>
  </cacheSource>
  <cacheFields count="7">
    <cacheField name="Data" numFmtId="14">
      <sharedItems containsSemiMixedTypes="0" containsNonDate="0" containsDate="1" containsString="0" minDate="2025-08-07T00:00:00" maxDate="2025-08-12T00:00:00" count="4">
        <d v="2025-08-07T00:00:00"/>
        <d v="2025-08-10T00:00:00"/>
        <d v="2025-08-11T00:00:00"/>
        <d v="2025-08-08T00:00:00" u="1"/>
      </sharedItems>
    </cacheField>
    <cacheField name="Palavra-chave" numFmtId="49">
      <sharedItems/>
    </cacheField>
    <cacheField name="Categoria" numFmtId="49">
      <sharedItems containsBlank="1" count="6">
        <s v="Lazer"/>
        <s v="Auto-cuidado"/>
        <s v="Educação"/>
        <s v="Presente"/>
        <s v="Alimentação" u="1"/>
        <m u="1"/>
      </sharedItems>
    </cacheField>
    <cacheField name="Tipo" numFmtId="49">
      <sharedItems/>
    </cacheField>
    <cacheField name="Valor" numFmtId="164">
      <sharedItems containsSemiMixedTypes="0" containsString="0" containsNumber="1" containsInteger="1" minValue="36" maxValue="1548"/>
    </cacheField>
    <cacheField name="Saldo" numFmtId="164">
      <sharedItems containsSemiMixedTypes="0" containsString="0" containsNumber="1" containsInteger="1" minValue="-1548" maxValue="-36"/>
    </cacheField>
    <cacheField name="Saldo do investimento" numFmtId="0" formula=" SUM(Saldo) * -1" databaseField="0"/>
  </cacheFields>
  <extLst>
    <ext xmlns:x14="http://schemas.microsoft.com/office/spreadsheetml/2009/9/main" uri="{725AE2AE-9491-48be-B2B4-4EB974FC3084}">
      <x14:pivotCacheDefinition pivotCacheId="71316530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uan Buzone" refreshedDate="45869.749409143522" createdVersion="8" refreshedVersion="8" minRefreshableVersion="3" recordCount="2" xr:uid="{789164C7-CD58-4A8E-9529-C63B607F8C2E}">
  <cacheSource type="worksheet">
    <worksheetSource name="tabela_economias"/>
  </cacheSource>
  <cacheFields count="7">
    <cacheField name="Data" numFmtId="14">
      <sharedItems containsSemiMixedTypes="0" containsNonDate="0" containsDate="1" containsString="0" minDate="2025-08-06T00:00:00" maxDate="2025-08-08T00:00:00"/>
    </cacheField>
    <cacheField name="Palavra-chave" numFmtId="49">
      <sharedItems containsBlank="1" count="3">
        <s v="CDB"/>
        <s v="Criptomoeda"/>
        <m u="1"/>
      </sharedItems>
    </cacheField>
    <cacheField name="Categoria" numFmtId="49">
      <sharedItems/>
    </cacheField>
    <cacheField name="Tipo" numFmtId="49">
      <sharedItems/>
    </cacheField>
    <cacheField name="Valor" numFmtId="164">
      <sharedItems containsSemiMixedTypes="0" containsString="0" containsNumber="1" containsInteger="1" minValue="150" maxValue="300"/>
    </cacheField>
    <cacheField name="Saldo" numFmtId="164">
      <sharedItems containsSemiMixedTypes="0" containsString="0" containsNumber="1" containsInteger="1" minValue="-300" maxValue="-150"/>
    </cacheField>
    <cacheField name="Saldo do investimento" numFmtId="0" formula=" SUM(Saldo) * -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Salário"/>
    <x v="0"/>
    <x v="0"/>
    <n v="2000"/>
    <n v="2000"/>
  </r>
  <r>
    <x v="0"/>
    <s v="CDB"/>
    <x v="1"/>
    <x v="1"/>
    <n v="300"/>
    <n v="-300"/>
  </r>
  <r>
    <x v="0"/>
    <s v="Internet"/>
    <x v="2"/>
    <x v="2"/>
    <n v="161.35"/>
    <n v="-161.35"/>
  </r>
  <r>
    <x v="0"/>
    <s v="WellHub"/>
    <x v="3"/>
    <x v="2"/>
    <n v="35.9"/>
    <n v="-35.9"/>
  </r>
  <r>
    <x v="0"/>
    <s v="Faculdade USJT"/>
    <x v="4"/>
    <x v="2"/>
    <n v="214.45"/>
    <n v="-214.45"/>
  </r>
  <r>
    <x v="1"/>
    <s v="Criptomoeda"/>
    <x v="1"/>
    <x v="1"/>
    <n v="150"/>
    <n v="-150"/>
  </r>
  <r>
    <x v="2"/>
    <s v="Sobrancelha"/>
    <x v="3"/>
    <x v="2"/>
    <n v="50"/>
    <n v="-50"/>
  </r>
  <r>
    <x v="2"/>
    <s v="Fatura Cartão AGOSTO"/>
    <x v="2"/>
    <x v="2"/>
    <n v="1548.43"/>
    <n v="-1548.43"/>
  </r>
  <r>
    <x v="3"/>
    <s v="Shopee (Realtimes) 3/3"/>
    <x v="5"/>
    <x v="2"/>
    <n v="76.900000000000006"/>
    <n v="-76.900000000000006"/>
  </r>
  <r>
    <x v="3"/>
    <s v="Shein (Roupas) 2/3"/>
    <x v="3"/>
    <x v="2"/>
    <n v="146.53"/>
    <n v="-146.53"/>
  </r>
  <r>
    <x v="3"/>
    <s v="Iphone 3/3"/>
    <x v="2"/>
    <x v="2"/>
    <n v="1057.96"/>
    <n v="-1057.96"/>
  </r>
  <r>
    <x v="3"/>
    <s v="Iphone (Venda)"/>
    <x v="6"/>
    <x v="0"/>
    <n v="1000"/>
    <n v="1000"/>
  </r>
  <r>
    <x v="3"/>
    <s v="Show Calcinha Preta 2/3"/>
    <x v="2"/>
    <x v="2"/>
    <n v="148.86000000000001"/>
    <n v="-148.86000000000001"/>
  </r>
  <r>
    <x v="3"/>
    <s v="Show Calcinha Preta 2/3 - Lipe"/>
    <x v="2"/>
    <x v="0"/>
    <n v="74.33"/>
    <n v="74.3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Internet"/>
    <x v="0"/>
    <s v="Gasto"/>
    <n v="161"/>
    <n v="-161"/>
  </r>
  <r>
    <x v="0"/>
    <s v="WellHub"/>
    <x v="1"/>
    <s v="Gasto"/>
    <n v="36"/>
    <n v="-36"/>
  </r>
  <r>
    <x v="0"/>
    <s v="Faculdade USJT"/>
    <x v="2"/>
    <s v="Gasto"/>
    <n v="214"/>
    <n v="-214"/>
  </r>
  <r>
    <x v="1"/>
    <s v="Sobrancelha"/>
    <x v="1"/>
    <s v="Gasto"/>
    <n v="50"/>
    <n v="-50"/>
  </r>
  <r>
    <x v="1"/>
    <s v="Fatura Cartão AGOSTO"/>
    <x v="0"/>
    <s v="Gasto"/>
    <n v="1548"/>
    <n v="-1548"/>
  </r>
  <r>
    <x v="2"/>
    <s v="Shopee (Realtimes) 3/3"/>
    <x v="3"/>
    <s v="Gasto"/>
    <n v="77"/>
    <n v="-77"/>
  </r>
  <r>
    <x v="2"/>
    <s v="Shein (Roupas) 2/3"/>
    <x v="1"/>
    <s v="Gasto"/>
    <n v="147"/>
    <n v="-147"/>
  </r>
  <r>
    <x v="2"/>
    <s v="Iphone 3/3"/>
    <x v="0"/>
    <s v="Gasto"/>
    <n v="1058"/>
    <n v="-1058"/>
  </r>
  <r>
    <x v="2"/>
    <s v="Show Calcinha Preta 2/3"/>
    <x v="0"/>
    <s v="Gasto"/>
    <n v="149"/>
    <n v="-14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d v="2025-08-07T00:00:00"/>
    <x v="0"/>
    <s v="Economias"/>
    <s v="Investimento"/>
    <n v="300"/>
    <n v="-300"/>
  </r>
  <r>
    <d v="2025-08-06T00:00:00"/>
    <x v="1"/>
    <s v="Economias"/>
    <s v="Investimento"/>
    <n v="150"/>
    <n v="-1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E2C17-86AF-49A9-9DCE-22B978411CDA}" name="Filtro_datas" cacheId="5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:A8" firstHeaderRow="1" firstDataRow="1" firstDataCol="1"/>
  <pivotFields count="7">
    <pivotField axis="axisRow" numFmtId="14" showAll="0">
      <items count="20">
        <item m="1" x="6"/>
        <item m="1" x="18"/>
        <item m="1" x="12"/>
        <item m="1" x="14"/>
        <item m="1" x="13"/>
        <item x="0"/>
        <item m="1" x="4"/>
        <item m="1" x="5"/>
        <item x="2"/>
        <item m="1" x="11"/>
        <item m="1" x="15"/>
        <item m="1" x="17"/>
        <item m="1" x="16"/>
        <item m="1" x="7"/>
        <item m="1" x="8"/>
        <item m="1" x="9"/>
        <item m="1" x="10"/>
        <item x="1"/>
        <item x="3"/>
        <item t="default"/>
      </items>
    </pivotField>
    <pivotField showAll="0"/>
    <pivotField showAll="0">
      <items count="10">
        <item m="1" x="7"/>
        <item x="3"/>
        <item x="1"/>
        <item x="4"/>
        <item x="2"/>
        <item x="5"/>
        <item x="6"/>
        <item x="0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numFmtId="164" showAll="0"/>
    <pivotField numFmtId="164" showAll="0"/>
    <pivotField dragToRow="0" dragToCol="0" dragToPage="0" showAll="0" defaultSubtotal="0"/>
  </pivotFields>
  <rowFields count="1">
    <field x="0"/>
  </rowFields>
  <rowItems count="5">
    <i>
      <x v="5"/>
    </i>
    <i>
      <x v="8"/>
    </i>
    <i>
      <x v="17"/>
    </i>
    <i>
      <x v="18"/>
    </i>
    <i t="grand">
      <x/>
    </i>
  </rowItems>
  <colItems count="1">
    <i/>
  </colItem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F0CC7-4546-4812-A22B-400B862BA90F}" name="análise_tipo" cacheId="5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6">
  <location ref="A3:B7" firstHeaderRow="1" firstDataRow="1" firstDataCol="1"/>
  <pivotFields count="7">
    <pivotField showAll="0">
      <items count="20">
        <item m="1" x="6"/>
        <item m="1" x="18"/>
        <item m="1" x="7"/>
        <item m="1" x="8"/>
        <item m="1" x="9"/>
        <item m="1" x="10"/>
        <item m="1" x="12"/>
        <item m="1" x="14"/>
        <item m="1" x="13"/>
        <item x="1"/>
        <item x="0"/>
        <item m="1" x="4"/>
        <item m="1" x="5"/>
        <item x="2"/>
        <item x="3"/>
        <item m="1" x="11"/>
        <item m="1" x="15"/>
        <item m="1" x="17"/>
        <item m="1" x="16"/>
        <item t="default"/>
      </items>
    </pivotField>
    <pivotField showAll="0"/>
    <pivotField multipleItemSelectionAllowed="1" showAll="0">
      <items count="10">
        <item m="1" x="7"/>
        <item x="3"/>
        <item x="1"/>
        <item x="4"/>
        <item x="2"/>
        <item x="5"/>
        <item x="6"/>
        <item x="0"/>
        <item m="1" x="8"/>
        <item t="default"/>
      </items>
    </pivotField>
    <pivotField axis="axisRow" multipleItemSelectionAllowed="1" showAll="0">
      <items count="5">
        <item x="2"/>
        <item x="0"/>
        <item x="1"/>
        <item m="1" x="3"/>
        <item t="default"/>
      </items>
    </pivotField>
    <pivotField dataField="1" numFmtId="164" showAll="0"/>
    <pivotField numFmtId="164" showAll="0"/>
    <pivotField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" fld="4" baseField="0" baseItem="0" numFmtId="164"/>
  </dataFields>
  <chartFormats count="8">
    <chartFormat chart="14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4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4" format="18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4" format="25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4" format="26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55D2B9-2F42-4578-ABBE-934D0C1B0517}" name="análise_temporal" cacheId="5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9">
  <location ref="A3:E9" firstHeaderRow="1" firstDataRow="2" firstDataCol="1"/>
  <pivotFields count="7">
    <pivotField axis="axisRow" numFmtId="14" showAll="0">
      <items count="20">
        <item m="1" x="6"/>
        <item m="1" x="18"/>
        <item m="1" x="12"/>
        <item m="1" x="14"/>
        <item m="1" x="13"/>
        <item x="0"/>
        <item m="1" x="4"/>
        <item m="1" x="5"/>
        <item x="2"/>
        <item m="1" x="11"/>
        <item m="1" x="15"/>
        <item m="1" x="17"/>
        <item m="1" x="16"/>
        <item m="1" x="7"/>
        <item m="1" x="8"/>
        <item m="1" x="9"/>
        <item m="1" x="10"/>
        <item x="1"/>
        <item x="3"/>
        <item t="default"/>
      </items>
    </pivotField>
    <pivotField showAll="0"/>
    <pivotField showAll="0">
      <items count="10">
        <item m="1" x="7"/>
        <item x="3"/>
        <item x="1"/>
        <item x="4"/>
        <item x="2"/>
        <item x="5"/>
        <item x="6"/>
        <item x="0"/>
        <item m="1" x="8"/>
        <item t="default"/>
      </items>
    </pivotField>
    <pivotField axis="axisCol" showAll="0">
      <items count="5">
        <item x="2"/>
        <item x="1"/>
        <item x="0"/>
        <item m="1" x="3"/>
        <item t="default"/>
      </items>
    </pivotField>
    <pivotField dataField="1" numFmtId="164" showAll="0"/>
    <pivotField numFmtId="164" showAll="0"/>
    <pivotField dragToRow="0" dragToCol="0" dragToPage="0" showAll="0" defaultSubtotal="0"/>
  </pivotFields>
  <rowFields count="1">
    <field x="0"/>
  </rowFields>
  <rowItems count="5">
    <i>
      <x v="5"/>
    </i>
    <i>
      <x v="8"/>
    </i>
    <i>
      <x v="17"/>
    </i>
    <i>
      <x v="18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oma de Valor" fld="4" baseField="0" baseItem="0" numFmtId="164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5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5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5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5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86E0EE-36AC-4871-BEB2-5F48898EBA68}" name="datas_gastos" cacheId="5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:A7" firstHeaderRow="1" firstDataRow="1" firstDataCol="1"/>
  <pivotFields count="7">
    <pivotField axis="axisRow" numFmtId="14" showAll="0">
      <items count="5">
        <item m="1" x="3"/>
        <item x="1"/>
        <item x="0"/>
        <item x="2"/>
        <item t="default"/>
      </items>
    </pivotField>
    <pivotField showAll="0"/>
    <pivotField showAll="0"/>
    <pivotField showAll="0"/>
    <pivotField numFmtId="164" showAll="0"/>
    <pivotField numFmtId="164" showAll="0"/>
    <pivotField dragToRow="0" dragToCol="0" dragToPage="0" showAll="0" defaultSubtotal="0"/>
  </pivotFields>
  <rowFields count="1">
    <field x="0"/>
  </rowFields>
  <rowItems count="4">
    <i>
      <x v="1"/>
    </i>
    <i>
      <x v="2"/>
    </i>
    <i>
      <x v="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B3EC44-64FA-40A2-9EB0-8299DBD0C8BA}" name="Gastos_Categoria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8" firstHeaderRow="1" firstDataRow="1" firstDataCol="1"/>
  <pivotFields count="7">
    <pivotField numFmtId="14" showAll="0"/>
    <pivotField showAll="0"/>
    <pivotField axis="axisRow" showAll="0">
      <items count="7">
        <item m="1" x="4"/>
        <item x="1"/>
        <item m="1" x="5"/>
        <item x="0"/>
        <item x="2"/>
        <item x="3"/>
        <item t="default"/>
      </items>
    </pivotField>
    <pivotField showAll="0"/>
    <pivotField dataField="1" numFmtId="164" showAll="0"/>
    <pivotField numFmtId="164" showAll="0"/>
    <pivotField dragToRow="0" dragToCol="0" dragToPage="0" showAll="0" defaultSubtotal="0"/>
  </pivotFields>
  <rowFields count="1">
    <field x="2"/>
  </rowFields>
  <rowItems count="5">
    <i>
      <x v="1"/>
    </i>
    <i>
      <x v="3"/>
    </i>
    <i>
      <x v="4"/>
    </i>
    <i>
      <x v="5"/>
    </i>
    <i t="grand">
      <x/>
    </i>
  </rowItems>
  <colItems count="1">
    <i/>
  </colItems>
  <dataFields count="1">
    <dataField name="Soma de Valor" fld="4" baseField="0" baseItem="0" numFmtId="164"/>
  </dataFields>
  <chartFormats count="2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0" showRowHeaders="1" showColHeaders="1" showRowStripes="0" showColStripes="0" showLastColumn="1"/>
  <filters count="1">
    <filter fld="5" type="captionLessThan" evalOrder="-1" id="1" stringValue1="0">
      <autoFilter ref="A1">
        <filterColumn colId="0">
          <customFilters>
            <customFilter operator="less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E89A4-9754-4D6E-831F-3CECE53D3897}" name="Economias" cacheId="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4:B7" firstHeaderRow="1" firstDataRow="1" firstDataCol="1"/>
  <pivotFields count="7">
    <pivotField numFmtId="14" showAll="0"/>
    <pivotField axis="axisRow" showAll="0">
      <items count="4">
        <item x="0"/>
        <item x="1"/>
        <item m="1" x="2"/>
        <item t="default"/>
      </items>
    </pivotField>
    <pivotField multipleItemSelectionAllowed="1" showAll="0"/>
    <pivotField multipleItemSelectionAllowed="1" showAll="0"/>
    <pivotField numFmtId="164" showAll="0"/>
    <pivotField numFmtId="164" showAll="0"/>
    <pivotField dataField="1" dragToRow="0" dragToCol="0" dragToPage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oma de Saldo do investimento" fld="6" baseField="0" baseItem="0" numFmtId="164"/>
  </dataFields>
  <chartFormats count="6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DA6E8DC4-F0B0-46CD-A0D4-9A36F0C955CE}" autoFormatId="16" applyNumberFormats="0" applyBorderFormats="0" applyFontFormats="0" applyPatternFormats="0" applyAlignmentFormats="0" applyWidthHeightFormats="0">
  <queryTableRefresh nextId="7">
    <queryTableFields count="6">
      <queryTableField id="1" name="Data" tableColumnId="1"/>
      <queryTableField id="2" name="Palavra-chave" tableColumnId="2"/>
      <queryTableField id="3" name="Categoria" tableColumnId="3"/>
      <queryTableField id="4" name="Tipo" tableColumnId="4"/>
      <queryTableField id="5" name="Valor" tableColumnId="5"/>
      <queryTableField id="6" name="Saldo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59D2C293-C72B-4B2A-9DE8-AA10C0A3867C}" autoFormatId="16" applyNumberFormats="0" applyBorderFormats="0" applyFontFormats="0" applyPatternFormats="0" applyAlignmentFormats="0" applyWidthHeightFormats="0">
  <queryTableRefresh nextId="7">
    <queryTableFields count="6">
      <queryTableField id="1" name="Data" tableColumnId="1"/>
      <queryTableField id="2" name="Palavra-chave" tableColumnId="2"/>
      <queryTableField id="3" name="Categoria" tableColumnId="3"/>
      <queryTableField id="4" name="Tipo" tableColumnId="4"/>
      <queryTableField id="5" name="Valor" tableColumnId="5"/>
      <queryTableField id="6" name="Saldo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1B838862-E56D-4A86-9ABA-9AAF9842E029}" sourceName="Tipo">
  <pivotTables>
    <pivotTable tabId="4" name="análise_tipo"/>
    <pivotTable tabId="8" name="análise_temporal"/>
    <pivotTable tabId="11" name="Filtro_datas"/>
  </pivotTables>
  <data>
    <tabular pivotCacheId="1771656455">
      <items count="4">
        <i x="2" s="1"/>
        <i x="1" s="1"/>
        <i x="0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3E504363-A0E3-4477-B032-D7C596FC4E6D}" sourceName="Categoria">
  <pivotTables>
    <pivotTable tabId="4" name="análise_tipo"/>
    <pivotTable tabId="8" name="análise_temporal"/>
    <pivotTable tabId="11" name="Filtro_datas"/>
  </pivotTables>
  <data>
    <tabular pivotCacheId="1771656455">
      <items count="9">
        <i x="3" s="1"/>
        <i x="1" s="1"/>
        <i x="4" s="1"/>
        <i x="2" s="1"/>
        <i x="5" s="1"/>
        <i x="6" s="1"/>
        <i x="0" s="1"/>
        <i x="7" s="1" nd="1"/>
        <i x="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E488F83C-CAE0-44B3-8BA6-260206358FC2}" sourceName="Categoria">
  <pivotTables>
    <pivotTable tabId="5" name="Gastos_Categoria"/>
  </pivotTables>
  <data>
    <tabular pivotCacheId="713165300">
      <items count="6">
        <i x="1" s="1"/>
        <i x="2" s="1"/>
        <i x="0" s="1"/>
        <i x="3" s="1"/>
        <i x="4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" xr10:uid="{59F82D6F-3D83-41D1-A935-474A6EA55B3D}" cache="SegmentaçãodeDados_Tipo" caption="Tipo" rowHeight="257175"/>
  <slicer name="Categoria" xr10:uid="{52AEB54B-E00F-4C3C-9A15-9966D8054CC4}" cache="SegmentaçãodeDados_Categoria" caption="Categoria" rowHeight="257175"/>
  <slicer name="Categoria 2" xr10:uid="{C32AF5D9-309E-4112-BAC3-271515383673}" cache="SegmentaçãodeDados_Categoria1" caption="Categoria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2DFCD29-6A28-4EA6-A961-3570054DE612}" cache="SegmentaçãodeDados_Categoria1" caption="Categoria" rowHeight="257175"/>
</slicer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E4E743-05F8-4F36-BE48-0D5CC93CCE14}" name="tabela_categorias" displayName="tabela_categorias" ref="A2:A12" totalsRowShown="0" headerRowDxfId="62" dataDxfId="60" headerRowBorderDxfId="61" tableBorderDxfId="59" totalsRowBorderDxfId="58">
  <autoFilter ref="A2:A12" xr:uid="{29E4E743-05F8-4F36-BE48-0D5CC93CCE14}"/>
  <tableColumns count="1">
    <tableColumn id="1" xr3:uid="{7CC183B7-6FB9-43A7-9B63-C6A4BA77BF08}" name="Categorias" dataDxfId="57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1ECFE4-7B86-4FB9-B9CF-1FCC46C26223}" name="tabela_tipos" displayName="tabela_tipos" ref="B2:B5" totalsRowShown="0" headerRowDxfId="56" dataDxfId="54" headerRowBorderDxfId="55" tableBorderDxfId="53" totalsRowBorderDxfId="52">
  <autoFilter ref="B2:B5" xr:uid="{071ECFE4-7B86-4FB9-B9CF-1FCC46C26223}"/>
  <tableColumns count="1">
    <tableColumn id="1" xr3:uid="{EF79A619-7736-41C4-AC16-BEA5A8FD8121}" name="Tipos" dataDxfId="51"/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B8E217-795F-496B-90B2-9095B8345605}" name="Tabela4" displayName="Tabela4" ref="C2:C3" totalsRowShown="0" headerRowDxfId="50" dataDxfId="49" tableBorderDxfId="48">
  <autoFilter ref="C2:C3" xr:uid="{28B8E217-795F-496B-90B2-9095B8345605}"/>
  <tableColumns count="1">
    <tableColumn id="1" xr3:uid="{15C4AB3F-0268-45F4-B925-F54C17B5F569}" name="Status" dataDxfId="47">
      <calculatedColumnFormula>IF(
    SUMIF(tabela_transações[Tipo],"Gasto",tabela_transações[Valor])/SUM(tabela_transações[Valor]) &lt; 25%,
    "Feliz",
    IF(
        SUMIF(tabela_transações[Tipo],"Gasto",tabela_transações[Valor])/SUM(tabela_transações[Valor]) &lt;= 33%,
        "Neutro",
        "Triste"
    )
)</calculatedColumnFormula>
    </tableColumn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F48707-E870-4BDF-9E8F-C8C0DD848E43}" name="tabela_finanças_fixas" displayName="tabela_finanças_fixas" ref="A2:E9" totalsRowShown="0" headerRowDxfId="45" dataDxfId="43" headerRowBorderDxfId="44" tableBorderDxfId="42" totalsRowBorderDxfId="41">
  <autoFilter ref="A2:E9" xr:uid="{FCF48707-E870-4BDF-9E8F-C8C0DD848E43}"/>
  <tableColumns count="5">
    <tableColumn id="1" xr3:uid="{F095E176-50E6-4E06-8718-5AD7C620DD5C}" name="Data" dataDxfId="40"/>
    <tableColumn id="2" xr3:uid="{9F5D7B44-4E75-4B27-9107-39FDDA85C104}" name="Palavra-chave" dataDxfId="39"/>
    <tableColumn id="3" xr3:uid="{3CAEA9F7-D5C5-49A6-95E0-48FC081C4ED4}" name="Categoria" dataDxfId="38"/>
    <tableColumn id="4" xr3:uid="{A6BF4ED9-D212-45EF-A624-5421859A9745}" name="Tipo" dataDxfId="37"/>
    <tableColumn id="5" xr3:uid="{2346288F-2B6F-46F7-8D0F-B33CC8611151}" name="Valor" dataDxfId="36"/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E4513E-71CE-4237-930D-C5C0B95D52AA}" name="meta_investimento" displayName="meta_investimento" ref="G2:H3" totalsRowShown="0" headerRowDxfId="35" dataDxfId="33" headerRowBorderDxfId="34" tableBorderDxfId="32">
  <autoFilter ref="G2:H3" xr:uid="{38E4513E-71CE-4237-930D-C5C0B95D52AA}"/>
  <tableColumns count="2">
    <tableColumn id="1" xr3:uid="{732AB038-CCC6-4175-B311-8759FAAEBB9F}" name="R$" dataDxfId="31"/>
    <tableColumn id="3" xr3:uid="{693DA70B-D5D6-4372-A6BC-6E39426F74A6}" name="% da renda" dataDxfId="30">
      <calculatedColumnFormula xml:space="preserve"> meta_investimento[[#This Row],[R$]] / SUMIF(tabela_finanças_fixas[Tipo], "Renda", tabela_finanças_fixas[Valor])</calculatedColumnFormula>
    </tableColumn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E38004-87B1-40FF-B23B-41D2381BA046}" name="tabela_transações" displayName="tabela_transações" ref="A2:F16" totalsRowShown="0" headerRowDxfId="26">
  <autoFilter ref="A2:F16" xr:uid="{E6E38004-87B1-40FF-B23B-41D2381BA046}"/>
  <tableColumns count="6">
    <tableColumn id="1" xr3:uid="{AF7D83B0-31AB-4A0D-BF92-95D2F3FFA6B1}" name="Data" dataDxfId="25"/>
    <tableColumn id="2" xr3:uid="{AD2A53EF-1058-4896-B632-7C3ED7E22B3A}" name="Palavra-chave" dataDxfId="24"/>
    <tableColumn id="3" xr3:uid="{CB3E1621-AFDC-46BF-8986-1EA0DA05F1B5}" name="Categoria" dataDxfId="23"/>
    <tableColumn id="4" xr3:uid="{ABDA3F6E-D494-4B5D-A359-D6C4D1A98059}" name="Tipo" dataDxfId="22"/>
    <tableColumn id="5" xr3:uid="{00B99CF4-DA9A-4FD1-BFF1-AA55B7399EF7}" name="Valor" dataDxfId="21"/>
    <tableColumn id="6" xr3:uid="{DF71FCA7-B0EC-4CF0-B3C1-568385D4BF64}" name="Saldo" dataDxfId="20">
      <calculatedColumnFormula>IF(OR(tabela_transações[[#This Row],[Tipo]] = "Gasto", tabela_transações[[#This Row],[Tipo]] = "Investimento"), tabela_transações[[#This Row],[Valor]] * -1, tabela_transações[[#This Row],[Valor]])</calculatedColumnFormula>
    </tableColumn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AFCAF60-C136-491C-BB56-8DBCBF673F32}" name="Tabela7" displayName="Tabela7" ref="L4:L7" totalsRowShown="0">
  <autoFilter ref="L4:L7" xr:uid="{CAFCAF60-C136-491C-BB56-8DBCBF673F32}"/>
  <tableColumns count="1">
    <tableColumn id="1" xr3:uid="{947A9264-62AD-4FB9-B59D-C78CEDE268F0}" name="Rótulos"/>
  </tableColumns>
  <tableStyleInfo name="Estilo de Tabe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0724F5-665F-4C07-BE01-966AA5DAB903}" name="tabela_gastos" displayName="tabela_gastos" ref="A1:F10" tableType="queryTable" totalsRowShown="0">
  <autoFilter ref="A1:F10" xr:uid="{A60724F5-665F-4C07-BE01-966AA5DAB903}"/>
  <tableColumns count="6">
    <tableColumn id="1" xr3:uid="{B3BEBD2F-A18B-4207-AF6A-2BF78333D17A}" uniqueName="1" name="Data" queryTableFieldId="1" dataDxfId="5"/>
    <tableColumn id="2" xr3:uid="{95727AB8-8DAD-46A8-A366-6D5EB631C17D}" uniqueName="2" name="Palavra-chave" queryTableFieldId="2" dataDxfId="4"/>
    <tableColumn id="3" xr3:uid="{433327E2-8AB1-4F60-9168-CDD4B05645BF}" uniqueName="3" name="Categoria" queryTableFieldId="3" dataDxfId="3"/>
    <tableColumn id="4" xr3:uid="{68646C89-6458-4105-B8BA-D8CEB730D1CF}" uniqueName="4" name="Tipo" queryTableFieldId="4" dataDxfId="2"/>
    <tableColumn id="5" xr3:uid="{E18E3A0A-2A80-462A-B731-F7EAFA17CBC8}" uniqueName="5" name="Valor" queryTableFieldId="5" dataDxfId="1"/>
    <tableColumn id="6" xr3:uid="{58295BAB-F1B8-4B0F-9CB2-C1A01BD27609}" uniqueName="6" name="Saldo" queryTableFieldId="6" dataDxfId="0"/>
  </tableColumns>
  <tableStyleInfo name="Estilo de Tabe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E22303C-8DD2-439E-9594-1618C1990AF1}" name="tabela_economias" displayName="tabela_economias" ref="A1:F3" tableType="queryTable" totalsRowShown="0">
  <autoFilter ref="A1:F3" xr:uid="{7E22303C-8DD2-439E-9594-1618C1990AF1}"/>
  <tableColumns count="6">
    <tableColumn id="1" xr3:uid="{712F0698-DA95-4792-838B-5A45CA2899B1}" uniqueName="1" name="Data" queryTableFieldId="1" dataDxfId="11"/>
    <tableColumn id="2" xr3:uid="{8608A1FC-4D9F-4D81-9D82-41ED64A19357}" uniqueName="2" name="Palavra-chave" queryTableFieldId="2" dataDxfId="10"/>
    <tableColumn id="3" xr3:uid="{8D37AC7A-17E8-4F33-8525-CBE4B1A48F99}" uniqueName="3" name="Categoria" queryTableFieldId="3" dataDxfId="9"/>
    <tableColumn id="4" xr3:uid="{BABC4AD8-C777-473F-863A-730CBADF5213}" uniqueName="4" name="Tipo" queryTableFieldId="4" dataDxfId="8"/>
    <tableColumn id="5" xr3:uid="{830C7954-CCA2-4E6B-8F3A-A54FB861D63A}" uniqueName="5" name="Valor" queryTableFieldId="5" dataDxfId="7"/>
    <tableColumn id="6" xr3:uid="{FC3312EC-D3B7-406F-8B46-C2899755B296}" uniqueName="6" name="Saldo" queryTableFieldId="6" dataDxfId="6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" xr10:uid="{64AE9CCA-A6A2-4A24-B27A-63F53C3B6A78}" sourceName="Data">
  <pivotTables>
    <pivotTable tabId="11" name="Filtro_datas"/>
    <pivotTable tabId="8" name="análise_temporal"/>
    <pivotTable tabId="4" name="análise_tipo"/>
  </pivotTables>
  <state minimalRefreshVersion="6" lastRefreshVersion="6" pivotCacheId="1771656455" filterType="unknown">
    <bounds startDate="2024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1" xr10:uid="{82B1E052-BC49-47B1-AFDE-80A03BA1FE1A}" sourceName="Data">
  <pivotTables>
    <pivotTable tabId="18" name="datas_gastos"/>
  </pivotTables>
  <state minimalRefreshVersion="6" lastRefreshVersion="6" pivotCacheId="713165300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2" xr10:uid="{273CECC0-DD9D-4712-8393-C8A5118583F8}" cache="NativeTimeline_Data" caption="Data" level="0" selectionLevel="0" scrollPosition="2024-01-01T00:00:00"/>
  <timeline name="Data" xr10:uid="{32671980-03A7-4504-8824-FA98B7DEB833}" cache="NativeTimeline_Data1" caption="Data" level="2" selectionLevel="2" scrollPosition="2025-05-08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6396-FA30-4A89-B52F-A20E62F9E3BB}">
  <sheetPr codeName="Planilha1"/>
  <dimension ref="A1:G12"/>
  <sheetViews>
    <sheetView showGridLines="0" zoomScaleNormal="100" workbookViewId="0">
      <selection activeCell="C3" sqref="C3"/>
    </sheetView>
  </sheetViews>
  <sheetFormatPr defaultColWidth="15.42578125" defaultRowHeight="14.25" x14ac:dyDescent="0.2"/>
  <cols>
    <col min="1" max="16384" width="15.42578125" style="6"/>
  </cols>
  <sheetData>
    <row r="1" spans="1:7" ht="15" x14ac:dyDescent="0.25">
      <c r="A1" s="39" t="s">
        <v>23</v>
      </c>
      <c r="B1" s="40"/>
      <c r="C1" s="40"/>
    </row>
    <row r="2" spans="1:7" ht="15" x14ac:dyDescent="0.25">
      <c r="A2" s="17" t="s">
        <v>12</v>
      </c>
      <c r="B2" s="7" t="s">
        <v>13</v>
      </c>
      <c r="C2" s="6" t="s">
        <v>26</v>
      </c>
      <c r="E2" s="41" t="s">
        <v>25</v>
      </c>
      <c r="F2" s="42"/>
      <c r="G2" s="43"/>
    </row>
    <row r="3" spans="1:7" ht="15" x14ac:dyDescent="0.25">
      <c r="A3" s="12" t="s">
        <v>4</v>
      </c>
      <c r="B3" s="8" t="s">
        <v>14</v>
      </c>
      <c r="C3" s="6" t="str">
        <f>IF(
    SUMIF(tabela_transações[Tipo],"Gasto",tabela_transações[Valor])/SUM(tabela_transações[Valor]) &lt; 25%,
    "Feliz",
    IF(
        SUMIF(tabela_transações[Tipo],"Gasto",tabela_transações[Valor])/SUM(tabela_transações[Valor]) &lt;= 33%,
        "Neutro",
        "Triste"
    )
)</f>
        <v>Triste</v>
      </c>
      <c r="E3" s="44" t="s">
        <v>24</v>
      </c>
      <c r="F3" s="45"/>
      <c r="G3" s="46"/>
    </row>
    <row r="4" spans="1:7" x14ac:dyDescent="0.2">
      <c r="A4" s="12" t="s">
        <v>5</v>
      </c>
      <c r="B4" s="9" t="s">
        <v>15</v>
      </c>
    </row>
    <row r="5" spans="1:7" x14ac:dyDescent="0.2">
      <c r="A5" s="12" t="s">
        <v>6</v>
      </c>
      <c r="B5" s="26" t="s">
        <v>27</v>
      </c>
    </row>
    <row r="6" spans="1:7" x14ac:dyDescent="0.2">
      <c r="A6" s="8" t="s">
        <v>7</v>
      </c>
    </row>
    <row r="7" spans="1:7" x14ac:dyDescent="0.2">
      <c r="A7" s="8" t="s">
        <v>8</v>
      </c>
    </row>
    <row r="8" spans="1:7" x14ac:dyDescent="0.2">
      <c r="A8" s="8" t="s">
        <v>10</v>
      </c>
    </row>
    <row r="9" spans="1:7" x14ac:dyDescent="0.2">
      <c r="A9" s="9" t="s">
        <v>9</v>
      </c>
    </row>
    <row r="10" spans="1:7" x14ac:dyDescent="0.2">
      <c r="A10" s="9" t="s">
        <v>34</v>
      </c>
    </row>
    <row r="11" spans="1:7" x14ac:dyDescent="0.2">
      <c r="A11" s="8" t="s">
        <v>44</v>
      </c>
    </row>
    <row r="12" spans="1:7" x14ac:dyDescent="0.2">
      <c r="A12" s="9" t="s">
        <v>38</v>
      </c>
    </row>
  </sheetData>
  <mergeCells count="3">
    <mergeCell ref="A1:C1"/>
    <mergeCell ref="E2:G2"/>
    <mergeCell ref="E3:G3"/>
  </mergeCells>
  <conditionalFormatting sqref="A1:XFD1048576">
    <cfRule type="containsBlanks" dxfId="63" priority="1">
      <formula>LEN(TRIM(A1))=0</formula>
    </cfRule>
  </conditionalFormatting>
  <dataValidations count="1">
    <dataValidation type="list" allowBlank="1" showInputMessage="1" showErrorMessage="1" sqref="A4:A9" xr:uid="{C4FE9AD2-2592-4BF6-BB33-5302D96FC2AB}">
      <formula1>$A$3:$A$12</formula1>
    </dataValidation>
  </dataValidations>
  <pageMargins left="0.511811024" right="0.511811024" top="0.78740157499999996" bottom="0.78740157499999996" header="0.31496062000000002" footer="0.31496062000000002"/>
  <pageSetup paperSize="9" scale="49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15F8-2A79-4CB3-9298-B1C67C245152}">
  <sheetPr codeName="Planilha3"/>
  <dimension ref="A1:I9"/>
  <sheetViews>
    <sheetView zoomScaleNormal="100" workbookViewId="0">
      <selection activeCell="H3" sqref="H3"/>
    </sheetView>
  </sheetViews>
  <sheetFormatPr defaultColWidth="9.140625" defaultRowHeight="14.25" x14ac:dyDescent="0.2"/>
  <cols>
    <col min="1" max="1" width="11.28515625" style="25" bestFit="1" customWidth="1"/>
    <col min="2" max="2" width="17.85546875" style="6" bestFit="1" customWidth="1"/>
    <col min="3" max="3" width="13.140625" style="6" bestFit="1" customWidth="1"/>
    <col min="4" max="4" width="12.7109375" style="6" bestFit="1" customWidth="1"/>
    <col min="5" max="5" width="12.28515625" style="6" bestFit="1" customWidth="1"/>
    <col min="6" max="6" width="9.140625" style="6"/>
    <col min="7" max="7" width="15.85546875" style="6" customWidth="1"/>
    <col min="8" max="8" width="18.42578125" style="6" customWidth="1"/>
    <col min="9" max="9" width="52.5703125" style="6" customWidth="1"/>
    <col min="10" max="10" width="17" style="6" customWidth="1"/>
    <col min="11" max="11" width="13.28515625" style="6" bestFit="1" customWidth="1"/>
    <col min="12" max="16384" width="9.140625" style="6"/>
  </cols>
  <sheetData>
    <row r="1" spans="1:9" ht="15" x14ac:dyDescent="0.25">
      <c r="A1" s="47" t="s">
        <v>22</v>
      </c>
      <c r="B1" s="48"/>
      <c r="C1" s="48"/>
      <c r="D1" s="48"/>
      <c r="E1" s="49"/>
      <c r="G1" s="50" t="s">
        <v>30</v>
      </c>
      <c r="H1" s="51"/>
    </row>
    <row r="2" spans="1:9" ht="15" x14ac:dyDescent="0.25">
      <c r="A2" s="23" t="s">
        <v>0</v>
      </c>
      <c r="B2" s="10" t="s">
        <v>16</v>
      </c>
      <c r="C2" s="10" t="s">
        <v>1</v>
      </c>
      <c r="D2" s="10" t="s">
        <v>2</v>
      </c>
      <c r="E2" s="11" t="s">
        <v>3</v>
      </c>
      <c r="G2" s="27" t="s">
        <v>29</v>
      </c>
      <c r="H2" s="28" t="s">
        <v>31</v>
      </c>
    </row>
    <row r="3" spans="1:9" x14ac:dyDescent="0.2">
      <c r="A3" s="24">
        <v>45876</v>
      </c>
      <c r="B3" s="12" t="s">
        <v>17</v>
      </c>
      <c r="C3" s="12" t="s">
        <v>10</v>
      </c>
      <c r="D3" s="12" t="s">
        <v>14</v>
      </c>
      <c r="E3" s="13">
        <v>2000</v>
      </c>
      <c r="G3" s="6">
        <v>300</v>
      </c>
      <c r="H3" s="29">
        <f xml:space="preserve"> meta_investimento[[#This Row],[R$]] / SUMIF(tabela_finanças_fixas[Tipo], "Renda", tabela_finanças_fixas[Valor])</f>
        <v>0.15</v>
      </c>
    </row>
    <row r="4" spans="1:9" x14ac:dyDescent="0.2">
      <c r="A4" s="24">
        <v>45876</v>
      </c>
      <c r="B4" s="12" t="s">
        <v>28</v>
      </c>
      <c r="C4" s="12" t="s">
        <v>34</v>
      </c>
      <c r="D4" s="12" t="s">
        <v>27</v>
      </c>
      <c r="E4" s="13">
        <v>300</v>
      </c>
    </row>
    <row r="5" spans="1:9" x14ac:dyDescent="0.2">
      <c r="A5" s="24">
        <v>45876</v>
      </c>
      <c r="B5" s="12" t="s">
        <v>39</v>
      </c>
      <c r="C5" s="12" t="s">
        <v>7</v>
      </c>
      <c r="D5" s="12" t="s">
        <v>15</v>
      </c>
      <c r="E5" s="13">
        <v>161.35</v>
      </c>
    </row>
    <row r="6" spans="1:9" x14ac:dyDescent="0.2">
      <c r="A6" s="24">
        <v>45876</v>
      </c>
      <c r="B6" s="12" t="s">
        <v>40</v>
      </c>
      <c r="C6" s="12" t="s">
        <v>38</v>
      </c>
      <c r="D6" s="32" t="s">
        <v>15</v>
      </c>
      <c r="E6" s="13">
        <v>35.9</v>
      </c>
    </row>
    <row r="7" spans="1:9" x14ac:dyDescent="0.2">
      <c r="A7" s="24">
        <v>45876</v>
      </c>
      <c r="B7" s="12" t="s">
        <v>41</v>
      </c>
      <c r="C7" s="12" t="s">
        <v>8</v>
      </c>
      <c r="D7" s="32" t="s">
        <v>15</v>
      </c>
      <c r="E7" s="13">
        <v>214.45</v>
      </c>
    </row>
    <row r="8" spans="1:9" ht="15" x14ac:dyDescent="0.25">
      <c r="A8" s="24">
        <v>45875</v>
      </c>
      <c r="B8" s="12" t="s">
        <v>36</v>
      </c>
      <c r="C8" s="12" t="s">
        <v>34</v>
      </c>
      <c r="D8" s="12" t="s">
        <v>27</v>
      </c>
      <c r="E8" s="13">
        <v>150</v>
      </c>
      <c r="G8" s="52" t="s">
        <v>37</v>
      </c>
      <c r="H8" s="52"/>
      <c r="I8" s="52"/>
    </row>
    <row r="9" spans="1:9" ht="15" x14ac:dyDescent="0.25">
      <c r="A9" s="24">
        <v>45879</v>
      </c>
      <c r="B9" s="12" t="s">
        <v>42</v>
      </c>
      <c r="C9" s="12" t="s">
        <v>38</v>
      </c>
      <c r="D9" s="12" t="s">
        <v>15</v>
      </c>
      <c r="E9" s="13">
        <v>50</v>
      </c>
      <c r="G9" s="31"/>
    </row>
  </sheetData>
  <mergeCells count="3">
    <mergeCell ref="A1:E1"/>
    <mergeCell ref="G1:H1"/>
    <mergeCell ref="G8:I8"/>
  </mergeCells>
  <conditionalFormatting sqref="A1 L1:XFD1 F1:G1 K2:XFD3 A2:H3 J8:XFD8 I1:K7 F9:XFD1048576 F8:G8 A8:E1048576 A4:XFD7">
    <cfRule type="containsBlanks" dxfId="46" priority="1">
      <formula>LEN(TRIM(A1))=0</formula>
    </cfRule>
  </conditionalFormatting>
  <dataValidations count="2">
    <dataValidation type="list" allowBlank="1" showInputMessage="1" showErrorMessage="1" sqref="D2:D9" xr:uid="{1F90787C-CE0F-4299-BD9E-D31FE4D8FEBE}">
      <formula1>coluna_tipos</formula1>
    </dataValidation>
    <dataValidation type="list" allowBlank="1" showInputMessage="1" showErrorMessage="1" sqref="C2:C9" xr:uid="{DB76DBEE-3515-4512-A080-08D2239B97CD}">
      <formula1>coluna_categorias</formula1>
    </dataValidation>
  </dataValidations>
  <pageMargins left="0.511811024" right="0.511811024" top="0.78740157499999996" bottom="0.78740157499999996" header="0.31496062000000002" footer="0.31496062000000002"/>
  <ignoredErrors>
    <ignoredError sqref="C2:D2" listDataValidation="1"/>
  </ignoredErrors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P16"/>
  <sheetViews>
    <sheetView workbookViewId="0">
      <selection activeCell="E18" sqref="E18"/>
    </sheetView>
  </sheetViews>
  <sheetFormatPr defaultColWidth="10.7109375" defaultRowHeight="15" x14ac:dyDescent="0.25"/>
  <cols>
    <col min="1" max="1" width="10.42578125" style="1" bestFit="1" customWidth="1"/>
    <col min="2" max="2" width="25.42578125" style="2" bestFit="1" customWidth="1"/>
    <col min="3" max="3" width="12.140625" style="2" bestFit="1" customWidth="1"/>
    <col min="4" max="4" width="7.140625" style="2" bestFit="1" customWidth="1"/>
    <col min="5" max="5" width="10.7109375" style="3" bestFit="1" customWidth="1"/>
    <col min="6" max="6" width="11.85546875" style="3" bestFit="1" customWidth="1"/>
    <col min="12" max="12" width="15.5703125" customWidth="1"/>
    <col min="13" max="13" width="11.85546875" customWidth="1"/>
    <col min="15" max="15" width="10.7109375" style="3"/>
    <col min="16" max="16" width="17.7109375" style="3" customWidth="1"/>
  </cols>
  <sheetData>
    <row r="1" spans="1:16" x14ac:dyDescent="0.25">
      <c r="A1" s="53" t="s">
        <v>11</v>
      </c>
      <c r="B1" s="53"/>
      <c r="C1" s="53"/>
      <c r="D1" s="53"/>
      <c r="E1" s="53"/>
      <c r="F1" s="53"/>
    </row>
    <row r="2" spans="1:16" x14ac:dyDescent="0.25">
      <c r="A2" s="14" t="s">
        <v>0</v>
      </c>
      <c r="B2" s="15" t="s">
        <v>16</v>
      </c>
      <c r="C2" s="15" t="s">
        <v>1</v>
      </c>
      <c r="D2" s="15" t="s">
        <v>2</v>
      </c>
      <c r="E2" s="16" t="s">
        <v>3</v>
      </c>
      <c r="F2" s="16" t="s">
        <v>21</v>
      </c>
      <c r="O2"/>
      <c r="P2"/>
    </row>
    <row r="3" spans="1:16" x14ac:dyDescent="0.25">
      <c r="A3" s="21">
        <v>45876</v>
      </c>
      <c r="B3" s="15" t="s">
        <v>17</v>
      </c>
      <c r="C3" s="15" t="s">
        <v>10</v>
      </c>
      <c r="D3" s="15" t="s">
        <v>14</v>
      </c>
      <c r="E3" s="16">
        <v>2000</v>
      </c>
      <c r="F3" s="22">
        <f>IF(OR(tabela_transações[[#This Row],[Tipo]] = "Gasto", tabela_transações[[#This Row],[Tipo]] = "Investimento"), tabela_transações[[#This Row],[Valor]] * -1, tabela_transações[[#This Row],[Valor]])</f>
        <v>2000</v>
      </c>
      <c r="O3"/>
      <c r="P3"/>
    </row>
    <row r="4" spans="1:16" x14ac:dyDescent="0.25">
      <c r="A4" s="21">
        <v>45876</v>
      </c>
      <c r="B4" s="15" t="s">
        <v>28</v>
      </c>
      <c r="C4" s="15" t="s">
        <v>34</v>
      </c>
      <c r="D4" s="15" t="s">
        <v>27</v>
      </c>
      <c r="E4" s="16">
        <v>300</v>
      </c>
      <c r="F4" s="22">
        <f>IF(OR(tabela_transações[[#This Row],[Tipo]] = "Gasto", tabela_transações[[#This Row],[Tipo]] = "Investimento"), tabela_transações[[#This Row],[Valor]] * -1, tabela_transações[[#This Row],[Valor]])</f>
        <v>-300</v>
      </c>
      <c r="J4" s="1"/>
      <c r="O4"/>
      <c r="P4"/>
    </row>
    <row r="5" spans="1:16" x14ac:dyDescent="0.25">
      <c r="A5" s="21">
        <v>45876</v>
      </c>
      <c r="B5" s="15" t="s">
        <v>39</v>
      </c>
      <c r="C5" s="15" t="s">
        <v>7</v>
      </c>
      <c r="D5" s="15" t="s">
        <v>15</v>
      </c>
      <c r="E5" s="16">
        <v>161.35</v>
      </c>
      <c r="F5" s="22">
        <f>IF(OR(tabela_transações[[#This Row],[Tipo]] = "Gasto", tabela_transações[[#This Row],[Tipo]] = "Investimento"), tabela_transações[[#This Row],[Valor]] * -1, tabela_transações[[#This Row],[Valor]])</f>
        <v>-161.35</v>
      </c>
      <c r="J5" s="1"/>
      <c r="O5"/>
      <c r="P5"/>
    </row>
    <row r="6" spans="1:16" x14ac:dyDescent="0.25">
      <c r="A6" s="21">
        <v>45876</v>
      </c>
      <c r="B6" s="15" t="s">
        <v>40</v>
      </c>
      <c r="C6" s="15" t="s">
        <v>38</v>
      </c>
      <c r="D6" s="15" t="s">
        <v>15</v>
      </c>
      <c r="E6" s="16">
        <v>35.9</v>
      </c>
      <c r="F6" s="22">
        <f>IF(OR(tabela_transações[[#This Row],[Tipo]] = "Gasto", tabela_transações[[#This Row],[Tipo]] = "Investimento"), tabela_transações[[#This Row],[Valor]] * -1, tabela_transações[[#This Row],[Valor]])</f>
        <v>-35.9</v>
      </c>
      <c r="O6"/>
      <c r="P6"/>
    </row>
    <row r="7" spans="1:16" x14ac:dyDescent="0.25">
      <c r="A7" s="21">
        <v>45876</v>
      </c>
      <c r="B7" s="15" t="s">
        <v>41</v>
      </c>
      <c r="C7" s="15" t="s">
        <v>8</v>
      </c>
      <c r="D7" s="15" t="s">
        <v>15</v>
      </c>
      <c r="E7" s="16">
        <v>214.45</v>
      </c>
      <c r="F7" s="22">
        <f>IF(OR(tabela_transações[[#This Row],[Tipo]] = "Gasto", tabela_transações[[#This Row],[Tipo]] = "Investimento"), tabela_transações[[#This Row],[Valor]] * -1, tabela_transações[[#This Row],[Valor]])</f>
        <v>-214.45</v>
      </c>
    </row>
    <row r="8" spans="1:16" x14ac:dyDescent="0.25">
      <c r="A8" s="21">
        <v>45875</v>
      </c>
      <c r="B8" s="15" t="s">
        <v>36</v>
      </c>
      <c r="C8" s="15" t="s">
        <v>34</v>
      </c>
      <c r="D8" s="15" t="s">
        <v>27</v>
      </c>
      <c r="E8" s="16">
        <v>150</v>
      </c>
      <c r="F8" s="22">
        <f>IF(OR(tabela_transações[[#This Row],[Tipo]] = "Gasto", tabela_transações[[#This Row],[Tipo]] = "Investimento"), tabela_transações[[#This Row],[Valor]] * -1, tabela_transações[[#This Row],[Valor]])</f>
        <v>-150</v>
      </c>
    </row>
    <row r="9" spans="1:16" x14ac:dyDescent="0.25">
      <c r="A9" s="21">
        <v>45879</v>
      </c>
      <c r="B9" s="15" t="s">
        <v>42</v>
      </c>
      <c r="C9" s="15" t="s">
        <v>38</v>
      </c>
      <c r="D9" s="15" t="s">
        <v>15</v>
      </c>
      <c r="E9" s="16">
        <v>50</v>
      </c>
      <c r="F9" s="22">
        <f>IF(OR(tabela_transações[[#This Row],[Tipo]] = "Gasto", tabela_transações[[#This Row],[Tipo]] = "Investimento"), tabela_transações[[#This Row],[Valor]] * -1, tabela_transações[[#This Row],[Valor]])</f>
        <v>-50</v>
      </c>
    </row>
    <row r="10" spans="1:16" x14ac:dyDescent="0.25">
      <c r="A10" s="21">
        <v>45879</v>
      </c>
      <c r="B10" s="33" t="s">
        <v>50</v>
      </c>
      <c r="C10" s="36" t="s">
        <v>7</v>
      </c>
      <c r="D10" s="36" t="s">
        <v>15</v>
      </c>
      <c r="E10" s="34">
        <v>1548.43</v>
      </c>
      <c r="F10" s="22">
        <f>IF(OR(tabela_transações[[#This Row],[Tipo]] = "Gasto", tabela_transações[[#This Row],[Tipo]] = "Investimento"), tabela_transações[[#This Row],[Valor]] * -1, tabela_transações[[#This Row],[Valor]])</f>
        <v>-1548.43</v>
      </c>
    </row>
    <row r="11" spans="1:16" x14ac:dyDescent="0.25">
      <c r="A11" s="21">
        <v>45880</v>
      </c>
      <c r="B11" s="36" t="s">
        <v>43</v>
      </c>
      <c r="C11" s="36" t="s">
        <v>44</v>
      </c>
      <c r="D11" s="36" t="s">
        <v>15</v>
      </c>
      <c r="E11" s="37">
        <v>76.900000000000006</v>
      </c>
      <c r="F11" s="38">
        <f>IF(OR(tabela_transações[[#This Row],[Tipo]] = "Gasto", tabela_transações[[#This Row],[Tipo]] = "Investimento"), tabela_transações[[#This Row],[Valor]] * -1, tabela_transações[[#This Row],[Valor]])</f>
        <v>-76.900000000000006</v>
      </c>
    </row>
    <row r="12" spans="1:16" x14ac:dyDescent="0.25">
      <c r="A12" s="35">
        <v>45880</v>
      </c>
      <c r="B12" s="36" t="s">
        <v>45</v>
      </c>
      <c r="C12" s="36" t="s">
        <v>38</v>
      </c>
      <c r="D12" s="36" t="s">
        <v>15</v>
      </c>
      <c r="E12" s="37">
        <v>146.53</v>
      </c>
      <c r="F12" s="38">
        <f>IF(OR(tabela_transações[[#This Row],[Tipo]] = "Gasto", tabela_transações[[#This Row],[Tipo]] = "Investimento"), tabela_transações[[#This Row],[Valor]] * -1, tabela_transações[[#This Row],[Valor]])</f>
        <v>-146.53</v>
      </c>
    </row>
    <row r="13" spans="1:16" x14ac:dyDescent="0.25">
      <c r="A13" s="35">
        <v>45880</v>
      </c>
      <c r="B13" s="36" t="s">
        <v>46</v>
      </c>
      <c r="C13" s="36" t="s">
        <v>7</v>
      </c>
      <c r="D13" s="36" t="s">
        <v>15</v>
      </c>
      <c r="E13" s="37">
        <v>1057.96</v>
      </c>
      <c r="F13" s="38">
        <f>IF(OR(tabela_transações[[#This Row],[Tipo]] = "Gasto", tabela_transações[[#This Row],[Tipo]] = "Investimento"), tabela_transações[[#This Row],[Valor]] * -1, tabela_transações[[#This Row],[Valor]])</f>
        <v>-1057.96</v>
      </c>
    </row>
    <row r="14" spans="1:16" x14ac:dyDescent="0.25">
      <c r="A14" s="35">
        <v>45880</v>
      </c>
      <c r="B14" s="36" t="s">
        <v>47</v>
      </c>
      <c r="C14" s="36" t="s">
        <v>9</v>
      </c>
      <c r="D14" s="36" t="s">
        <v>14</v>
      </c>
      <c r="E14" s="37">
        <v>1000</v>
      </c>
      <c r="F14" s="38">
        <f>IF(OR(tabela_transações[[#This Row],[Tipo]] = "Gasto", tabela_transações[[#This Row],[Tipo]] = "Investimento"), tabela_transações[[#This Row],[Valor]] * -1, tabela_transações[[#This Row],[Valor]])</f>
        <v>1000</v>
      </c>
    </row>
    <row r="15" spans="1:16" x14ac:dyDescent="0.25">
      <c r="A15" s="35">
        <v>45880</v>
      </c>
      <c r="B15" s="36" t="s">
        <v>48</v>
      </c>
      <c r="C15" s="36" t="s">
        <v>7</v>
      </c>
      <c r="D15" s="36" t="s">
        <v>15</v>
      </c>
      <c r="E15" s="37">
        <v>148.86000000000001</v>
      </c>
      <c r="F15" s="38">
        <f>IF(OR(tabela_transações[[#This Row],[Tipo]] = "Gasto", tabela_transações[[#This Row],[Tipo]] = "Investimento"), tabela_transações[[#This Row],[Valor]] * -1, tabela_transações[[#This Row],[Valor]])</f>
        <v>-148.86000000000001</v>
      </c>
    </row>
    <row r="16" spans="1:16" x14ac:dyDescent="0.25">
      <c r="A16" s="35">
        <v>45880</v>
      </c>
      <c r="B16" s="36" t="s">
        <v>49</v>
      </c>
      <c r="C16" s="36" t="s">
        <v>7</v>
      </c>
      <c r="D16" s="36" t="s">
        <v>14</v>
      </c>
      <c r="E16" s="37">
        <v>74.33</v>
      </c>
      <c r="F16" s="38">
        <f>IF(OR(tabela_transações[[#This Row],[Tipo]] = "Gasto", tabela_transações[[#This Row],[Tipo]] = "Investimento"), tabela_transações[[#This Row],[Valor]] * -1, tabela_transações[[#This Row],[Valor]])</f>
        <v>74.33</v>
      </c>
    </row>
  </sheetData>
  <mergeCells count="1">
    <mergeCell ref="A1:F1"/>
  </mergeCells>
  <conditionalFormatting sqref="A1 A17:F1048576 G1:XFD1 G3:I1048576 A2:I2 J2:XFD1048576 B11:F16">
    <cfRule type="containsBlanks" dxfId="29" priority="4">
      <formula>LEN(TRIM(A1))=0</formula>
    </cfRule>
  </conditionalFormatting>
  <conditionalFormatting sqref="C10">
    <cfRule type="containsBlanks" dxfId="28" priority="2">
      <formula>LEN(TRIM(C10))=0</formula>
    </cfRule>
  </conditionalFormatting>
  <conditionalFormatting sqref="D10">
    <cfRule type="containsBlanks" dxfId="27" priority="1">
      <formula>LEN(TRIM(D10))=0</formula>
    </cfRule>
  </conditionalFormatting>
  <dataValidations count="2">
    <dataValidation type="list" allowBlank="1" showInputMessage="1" showErrorMessage="1" sqref="C2 C10:C1048576" xr:uid="{4D0D23AE-392B-41C3-9AE1-A6D9A9E37654}">
      <formula1>coluna_categorias</formula1>
    </dataValidation>
    <dataValidation type="list" allowBlank="1" showInputMessage="1" showErrorMessage="1" sqref="D2 D10:D1048576" xr:uid="{89B8E893-BCCA-453B-AA29-90B9ECD52654}">
      <formula1>coluna_tipos</formula1>
    </dataValidation>
  </dataValidations>
  <pageMargins left="0.7" right="0.7" top="0.75" bottom="0.75" header="0.3" footer="0.3"/>
  <ignoredErrors>
    <ignoredError sqref="C2:D2" listDataValidation="1"/>
  </ignoredErrors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18355-ADA9-49EE-A7DE-0A3D05DD676B}">
  <sheetPr codeName="Planilha6"/>
  <dimension ref="B2:C3"/>
  <sheetViews>
    <sheetView tabSelected="1" zoomScale="85" zoomScaleNormal="85" workbookViewId="0">
      <selection activeCell="V15" sqref="V15"/>
    </sheetView>
  </sheetViews>
  <sheetFormatPr defaultColWidth="7.28515625" defaultRowHeight="15" x14ac:dyDescent="0.2"/>
  <cols>
    <col min="1" max="16384" width="7.28515625" style="18"/>
  </cols>
  <sheetData>
    <row r="2" spans="2:3" ht="68.25" x14ac:dyDescent="1.25">
      <c r="B2" s="20"/>
      <c r="C2" s="19"/>
    </row>
    <row r="3" spans="2:3" ht="15" customHeight="1" x14ac:dyDescent="0.2"/>
  </sheetData>
  <conditionalFormatting sqref="A1:XFD1048576">
    <cfRule type="containsBlanks" dxfId="19" priority="1">
      <formula>LEN(TRIM(A1))=0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BF76C-B9E4-4B33-871C-D1430ACDD459}">
  <sheetPr codeName="Planilha7"/>
  <dimension ref="A3:A8"/>
  <sheetViews>
    <sheetView workbookViewId="0">
      <selection activeCell="C3" sqref="C3"/>
    </sheetView>
  </sheetViews>
  <sheetFormatPr defaultRowHeight="15" x14ac:dyDescent="0.25"/>
  <cols>
    <col min="1" max="1" width="18.42578125" bestFit="1" customWidth="1"/>
  </cols>
  <sheetData>
    <row r="3" spans="1:1" x14ac:dyDescent="0.25">
      <c r="A3" s="4" t="s">
        <v>20</v>
      </c>
    </row>
    <row r="4" spans="1:1" x14ac:dyDescent="0.25">
      <c r="A4" s="30">
        <v>45876</v>
      </c>
    </row>
    <row r="5" spans="1:1" x14ac:dyDescent="0.25">
      <c r="A5" s="30">
        <v>45879</v>
      </c>
    </row>
    <row r="6" spans="1:1" x14ac:dyDescent="0.25">
      <c r="A6" s="30">
        <v>45875</v>
      </c>
    </row>
    <row r="7" spans="1:1" x14ac:dyDescent="0.25">
      <c r="A7" s="30">
        <v>45880</v>
      </c>
    </row>
    <row r="8" spans="1:1" x14ac:dyDescent="0.25">
      <c r="A8" s="30" t="s">
        <v>19</v>
      </c>
    </row>
  </sheetData>
  <conditionalFormatting sqref="A1:XFD1048576">
    <cfRule type="containsBlanks" dxfId="18" priority="1">
      <formula>LEN(TRIM(A1))=0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86138-9C52-4493-B239-07B0B8ACA769}">
  <sheetPr codeName="Planilha4"/>
  <dimension ref="A3:L7"/>
  <sheetViews>
    <sheetView workbookViewId="0">
      <selection activeCell="L7" sqref="L7"/>
    </sheetView>
  </sheetViews>
  <sheetFormatPr defaultRowHeight="15" x14ac:dyDescent="0.25"/>
  <cols>
    <col min="1" max="1" width="18.42578125" bestFit="1" customWidth="1"/>
    <col min="2" max="2" width="13.85546875" bestFit="1" customWidth="1"/>
    <col min="3" max="3" width="11.7109375" bestFit="1" customWidth="1"/>
    <col min="4" max="5" width="10.85546875" bestFit="1" customWidth="1"/>
    <col min="12" max="12" width="16.42578125" bestFit="1" customWidth="1"/>
  </cols>
  <sheetData>
    <row r="3" spans="1:12" x14ac:dyDescent="0.25">
      <c r="A3" s="4" t="s">
        <v>20</v>
      </c>
      <c r="B3" t="s">
        <v>18</v>
      </c>
    </row>
    <row r="4" spans="1:12" x14ac:dyDescent="0.25">
      <c r="A4" s="5" t="s">
        <v>15</v>
      </c>
      <c r="B4" s="3">
        <v>3440.3800000000006</v>
      </c>
      <c r="L4" t="s">
        <v>33</v>
      </c>
    </row>
    <row r="5" spans="1:12" x14ac:dyDescent="0.25">
      <c r="A5" s="5" t="s">
        <v>14</v>
      </c>
      <c r="B5" s="3">
        <v>3074.33</v>
      </c>
      <c r="L5" t="str">
        <f>_xlfn.CONCAT("Gasto: ",GETPIVOTDATA("Valor",$A$3,"Tipo","Gasto"))</f>
        <v>Gasto: 3440,38</v>
      </c>
    </row>
    <row r="6" spans="1:12" x14ac:dyDescent="0.25">
      <c r="A6" s="5" t="s">
        <v>27</v>
      </c>
      <c r="B6" s="3">
        <v>450</v>
      </c>
      <c r="L6" t="str">
        <f>_xlfn.CONCAT("Renda: ",GETPIVOTDATA("Valor",$A$3,"Tipo","Renda"))</f>
        <v>Renda: 3074,33</v>
      </c>
    </row>
    <row r="7" spans="1:12" x14ac:dyDescent="0.25">
      <c r="A7" s="5" t="s">
        <v>19</v>
      </c>
      <c r="B7" s="3">
        <v>6964.7100000000009</v>
      </c>
      <c r="L7" t="str">
        <f>_xlfn.CONCAT("Investimento: ",GETPIVOTDATA("Valor",$A$3,"Tipo","Investimento"))</f>
        <v>Investimento: 450</v>
      </c>
    </row>
  </sheetData>
  <conditionalFormatting sqref="A1:XFD3 A4:A10 C7:I7 A8:K1048576 J6:K10 C4:K6 L4:XFD1048576">
    <cfRule type="containsBlanks" dxfId="17" priority="1">
      <formula>LEN(TRIM(A1))=0</formula>
    </cfRule>
  </conditionalFormatting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DC694-6CB7-4CB2-BAF7-257BE2B8453F}">
  <sheetPr codeName="Planilha8"/>
  <dimension ref="A3:E9"/>
  <sheetViews>
    <sheetView workbookViewId="0">
      <selection activeCell="B5" sqref="B5"/>
    </sheetView>
  </sheetViews>
  <sheetFormatPr defaultRowHeight="15" x14ac:dyDescent="0.25"/>
  <cols>
    <col min="1" max="1" width="18.42578125" bestFit="1" customWidth="1"/>
    <col min="2" max="2" width="20.140625" bestFit="1" customWidth="1"/>
    <col min="3" max="3" width="13.140625" bestFit="1" customWidth="1"/>
    <col min="4" max="5" width="10.85546875" bestFit="1" customWidth="1"/>
  </cols>
  <sheetData>
    <row r="3" spans="1:5" x14ac:dyDescent="0.25">
      <c r="A3" s="4" t="s">
        <v>18</v>
      </c>
      <c r="B3" s="4" t="s">
        <v>32</v>
      </c>
    </row>
    <row r="4" spans="1:5" x14ac:dyDescent="0.25">
      <c r="A4" s="4" t="s">
        <v>20</v>
      </c>
      <c r="B4" t="s">
        <v>15</v>
      </c>
      <c r="C4" t="s">
        <v>27</v>
      </c>
      <c r="D4" t="s">
        <v>14</v>
      </c>
      <c r="E4" t="s">
        <v>19</v>
      </c>
    </row>
    <row r="5" spans="1:5" x14ac:dyDescent="0.25">
      <c r="A5" s="30">
        <v>45876</v>
      </c>
      <c r="B5" s="3">
        <v>411.7</v>
      </c>
      <c r="C5" s="3">
        <v>300</v>
      </c>
      <c r="D5" s="3">
        <v>2000</v>
      </c>
      <c r="E5" s="3">
        <v>2711.7</v>
      </c>
    </row>
    <row r="6" spans="1:5" x14ac:dyDescent="0.25">
      <c r="A6" s="30">
        <v>45879</v>
      </c>
      <c r="B6" s="3">
        <v>1598.43</v>
      </c>
      <c r="C6" s="3"/>
      <c r="D6" s="3"/>
      <c r="E6" s="3">
        <v>1598.43</v>
      </c>
    </row>
    <row r="7" spans="1:5" x14ac:dyDescent="0.25">
      <c r="A7" s="30">
        <v>45875</v>
      </c>
      <c r="B7" s="3"/>
      <c r="C7" s="3">
        <v>150</v>
      </c>
      <c r="D7" s="3"/>
      <c r="E7" s="3">
        <v>150</v>
      </c>
    </row>
    <row r="8" spans="1:5" x14ac:dyDescent="0.25">
      <c r="A8" s="30">
        <v>45880</v>
      </c>
      <c r="B8" s="3">
        <v>1430.25</v>
      </c>
      <c r="C8" s="3"/>
      <c r="D8" s="3">
        <v>1074.33</v>
      </c>
      <c r="E8" s="3">
        <v>2504.58</v>
      </c>
    </row>
    <row r="9" spans="1:5" x14ac:dyDescent="0.25">
      <c r="A9" s="30" t="s">
        <v>19</v>
      </c>
      <c r="B9" s="3">
        <v>3440.38</v>
      </c>
      <c r="C9" s="3">
        <v>450</v>
      </c>
      <c r="D9" s="3">
        <v>3074.33</v>
      </c>
      <c r="E9" s="3">
        <v>6964.71</v>
      </c>
    </row>
  </sheetData>
  <conditionalFormatting sqref="A1:XFD4 A14:XFD1048576 A5:A13 F5:XFD13">
    <cfRule type="containsBlanks" dxfId="16" priority="1">
      <formula>LEN(TRIM(A1))=0</formula>
    </cfRule>
  </conditionalFormatting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81C13-7463-4289-A693-E2D52E690378}">
  <sheetPr codeName="Planilha9"/>
  <dimension ref="A1:F10"/>
  <sheetViews>
    <sheetView workbookViewId="0">
      <selection activeCell="B2" sqref="B2"/>
    </sheetView>
  </sheetViews>
  <sheetFormatPr defaultRowHeight="15" x14ac:dyDescent="0.25"/>
  <cols>
    <col min="1" max="1" width="10.42578125" style="1" bestFit="1" customWidth="1"/>
    <col min="2" max="2" width="22.5703125" style="2" bestFit="1" customWidth="1"/>
    <col min="3" max="3" width="13.140625" style="2" bestFit="1" customWidth="1"/>
    <col min="4" max="4" width="7.140625" style="2" bestFit="1" customWidth="1"/>
    <col min="5" max="5" width="10.7109375" style="3" bestFit="1" customWidth="1"/>
    <col min="6" max="6" width="11.42578125" style="3" bestFit="1" customWidth="1"/>
  </cols>
  <sheetData>
    <row r="1" spans="1:6" x14ac:dyDescent="0.25">
      <c r="A1" s="1" t="s">
        <v>0</v>
      </c>
      <c r="B1" s="2" t="s">
        <v>16</v>
      </c>
      <c r="C1" s="2" t="s">
        <v>1</v>
      </c>
      <c r="D1" s="2" t="s">
        <v>2</v>
      </c>
      <c r="E1" s="3" t="s">
        <v>3</v>
      </c>
      <c r="F1" s="3" t="s">
        <v>21</v>
      </c>
    </row>
    <row r="2" spans="1:6" x14ac:dyDescent="0.25">
      <c r="A2" s="1">
        <v>45876</v>
      </c>
      <c r="B2" s="2" t="s">
        <v>39</v>
      </c>
      <c r="C2" s="2" t="s">
        <v>7</v>
      </c>
      <c r="D2" s="2" t="s">
        <v>15</v>
      </c>
      <c r="E2" s="3">
        <v>161</v>
      </c>
      <c r="F2" s="3">
        <v>-161</v>
      </c>
    </row>
    <row r="3" spans="1:6" x14ac:dyDescent="0.25">
      <c r="A3" s="1">
        <v>45876</v>
      </c>
      <c r="B3" s="2" t="s">
        <v>40</v>
      </c>
      <c r="C3" s="2" t="s">
        <v>38</v>
      </c>
      <c r="D3" s="2" t="s">
        <v>15</v>
      </c>
      <c r="E3" s="3">
        <v>36</v>
      </c>
      <c r="F3" s="3">
        <v>-36</v>
      </c>
    </row>
    <row r="4" spans="1:6" x14ac:dyDescent="0.25">
      <c r="A4" s="1">
        <v>45876</v>
      </c>
      <c r="B4" s="2" t="s">
        <v>41</v>
      </c>
      <c r="C4" s="2" t="s">
        <v>8</v>
      </c>
      <c r="D4" s="2" t="s">
        <v>15</v>
      </c>
      <c r="E4" s="3">
        <v>214</v>
      </c>
      <c r="F4" s="3">
        <v>-214</v>
      </c>
    </row>
    <row r="5" spans="1:6" x14ac:dyDescent="0.25">
      <c r="A5" s="1">
        <v>45879</v>
      </c>
      <c r="B5" s="2" t="s">
        <v>42</v>
      </c>
      <c r="C5" s="2" t="s">
        <v>38</v>
      </c>
      <c r="D5" s="2" t="s">
        <v>15</v>
      </c>
      <c r="E5" s="3">
        <v>50</v>
      </c>
      <c r="F5" s="3">
        <v>-50</v>
      </c>
    </row>
    <row r="6" spans="1:6" x14ac:dyDescent="0.25">
      <c r="A6" s="1">
        <v>45879</v>
      </c>
      <c r="B6" s="2" t="s">
        <v>50</v>
      </c>
      <c r="C6" s="2" t="s">
        <v>7</v>
      </c>
      <c r="D6" s="2" t="s">
        <v>15</v>
      </c>
      <c r="E6" s="3">
        <v>1548</v>
      </c>
      <c r="F6" s="3">
        <v>-1548</v>
      </c>
    </row>
    <row r="7" spans="1:6" x14ac:dyDescent="0.25">
      <c r="A7" s="1">
        <v>45880</v>
      </c>
      <c r="B7" s="2" t="s">
        <v>43</v>
      </c>
      <c r="C7" s="2" t="s">
        <v>44</v>
      </c>
      <c r="D7" s="2" t="s">
        <v>15</v>
      </c>
      <c r="E7" s="3">
        <v>77</v>
      </c>
      <c r="F7" s="3">
        <v>-77</v>
      </c>
    </row>
    <row r="8" spans="1:6" x14ac:dyDescent="0.25">
      <c r="A8" s="1">
        <v>45880</v>
      </c>
      <c r="B8" s="2" t="s">
        <v>45</v>
      </c>
      <c r="C8" s="2" t="s">
        <v>38</v>
      </c>
      <c r="D8" s="2" t="s">
        <v>15</v>
      </c>
      <c r="E8" s="3">
        <v>147</v>
      </c>
      <c r="F8" s="3">
        <v>-147</v>
      </c>
    </row>
    <row r="9" spans="1:6" x14ac:dyDescent="0.25">
      <c r="A9" s="1">
        <v>45880</v>
      </c>
      <c r="B9" s="2" t="s">
        <v>46</v>
      </c>
      <c r="C9" s="2" t="s">
        <v>7</v>
      </c>
      <c r="D9" s="2" t="s">
        <v>15</v>
      </c>
      <c r="E9" s="3">
        <v>1058</v>
      </c>
      <c r="F9" s="3">
        <v>-1058</v>
      </c>
    </row>
    <row r="10" spans="1:6" x14ac:dyDescent="0.25">
      <c r="A10" s="1">
        <v>45880</v>
      </c>
      <c r="B10" s="2" t="s">
        <v>48</v>
      </c>
      <c r="C10" s="2" t="s">
        <v>7</v>
      </c>
      <c r="D10" s="2" t="s">
        <v>15</v>
      </c>
      <c r="E10" s="3">
        <v>149</v>
      </c>
      <c r="F10" s="3">
        <v>-149</v>
      </c>
    </row>
  </sheetData>
  <conditionalFormatting sqref="A1:XFD1048576">
    <cfRule type="containsBlanks" dxfId="15" priority="1">
      <formula>LEN(TRIM(A1))=0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CF570-E379-4B51-8B75-74C8D91C0E59}">
  <sheetPr codeName="Planilha12"/>
  <dimension ref="A3:A7"/>
  <sheetViews>
    <sheetView workbookViewId="0">
      <selection activeCell="A4" sqref="A4"/>
    </sheetView>
  </sheetViews>
  <sheetFormatPr defaultRowHeight="15" x14ac:dyDescent="0.25"/>
  <cols>
    <col min="1" max="1" width="18.42578125" bestFit="1" customWidth="1"/>
  </cols>
  <sheetData>
    <row r="3" spans="1:1" x14ac:dyDescent="0.25">
      <c r="A3" s="4" t="s">
        <v>20</v>
      </c>
    </row>
    <row r="4" spans="1:1" x14ac:dyDescent="0.25">
      <c r="A4" s="30">
        <v>45879</v>
      </c>
    </row>
    <row r="5" spans="1:1" x14ac:dyDescent="0.25">
      <c r="A5" s="30">
        <v>45876</v>
      </c>
    </row>
    <row r="6" spans="1:1" x14ac:dyDescent="0.25">
      <c r="A6" s="30">
        <v>45880</v>
      </c>
    </row>
    <row r="7" spans="1:1" x14ac:dyDescent="0.25">
      <c r="A7" s="30" t="s">
        <v>19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7C7CF-D797-4B28-873F-BD2D760E6EEC}">
  <sheetPr codeName="Planilha5"/>
  <dimension ref="A3:B8"/>
  <sheetViews>
    <sheetView zoomScale="85" zoomScaleNormal="85" workbookViewId="0">
      <selection activeCell="A4" sqref="A4"/>
    </sheetView>
  </sheetViews>
  <sheetFormatPr defaultRowHeight="15" x14ac:dyDescent="0.25"/>
  <cols>
    <col min="1" max="1" width="18.42578125" bestFit="1" customWidth="1"/>
    <col min="2" max="2" width="13.85546875" bestFit="1" customWidth="1"/>
    <col min="3" max="3" width="13.140625" bestFit="1" customWidth="1"/>
    <col min="4" max="5" width="10.85546875" bestFit="1" customWidth="1"/>
    <col min="6" max="6" width="18.85546875" bestFit="1" customWidth="1"/>
    <col min="7" max="7" width="22.85546875" bestFit="1" customWidth="1"/>
    <col min="8" max="8" width="20.140625" bestFit="1" customWidth="1"/>
    <col min="9" max="9" width="24.140625" bestFit="1" customWidth="1"/>
    <col min="10" max="10" width="13.85546875" bestFit="1" customWidth="1"/>
    <col min="11" max="11" width="17.85546875" bestFit="1" customWidth="1"/>
    <col min="12" max="12" width="19.7109375" bestFit="1" customWidth="1"/>
    <col min="13" max="13" width="23.7109375" bestFit="1" customWidth="1"/>
    <col min="14" max="14" width="18.85546875" bestFit="1" customWidth="1"/>
    <col min="15" max="15" width="22.85546875" bestFit="1" customWidth="1"/>
  </cols>
  <sheetData>
    <row r="3" spans="1:2" x14ac:dyDescent="0.25">
      <c r="A3" s="4" t="s">
        <v>20</v>
      </c>
      <c r="B3" t="s">
        <v>18</v>
      </c>
    </row>
    <row r="4" spans="1:2" x14ac:dyDescent="0.25">
      <c r="A4" s="5" t="s">
        <v>38</v>
      </c>
      <c r="B4" s="3">
        <v>233</v>
      </c>
    </row>
    <row r="5" spans="1:2" x14ac:dyDescent="0.25">
      <c r="A5" s="5" t="s">
        <v>7</v>
      </c>
      <c r="B5" s="3">
        <v>2916</v>
      </c>
    </row>
    <row r="6" spans="1:2" x14ac:dyDescent="0.25">
      <c r="A6" s="5" t="s">
        <v>8</v>
      </c>
      <c r="B6" s="3">
        <v>214</v>
      </c>
    </row>
    <row r="7" spans="1:2" x14ac:dyDescent="0.25">
      <c r="A7" s="5" t="s">
        <v>44</v>
      </c>
      <c r="B7" s="3">
        <v>77</v>
      </c>
    </row>
    <row r="8" spans="1:2" x14ac:dyDescent="0.25">
      <c r="A8" s="5" t="s">
        <v>19</v>
      </c>
      <c r="B8" s="3">
        <v>3440</v>
      </c>
    </row>
  </sheetData>
  <conditionalFormatting sqref="A21:XFD1048576 P7:XFD10 K11:XFD14 K3:XFD6 K5:O14 A2:C3 A1:XFD2 D15:XFD20 D3:J4 D9:J14 F5:J8 C4:G25 A9:B22 A6:A8">
    <cfRule type="containsBlanks" dxfId="14" priority="3">
      <formula>LEN(TRIM(A1))=0</formula>
    </cfRule>
  </conditionalFormatting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46B42-BF94-4FBB-9E9A-4FAC93F367C9}">
  <sheetPr codeName="Planilha10"/>
  <dimension ref="A1:F3"/>
  <sheetViews>
    <sheetView workbookViewId="0">
      <selection activeCell="B2" sqref="B2"/>
    </sheetView>
  </sheetViews>
  <sheetFormatPr defaultRowHeight="15" x14ac:dyDescent="0.25"/>
  <cols>
    <col min="1" max="1" width="10.42578125" style="1" bestFit="1" customWidth="1"/>
    <col min="2" max="2" width="16" style="2" bestFit="1" customWidth="1"/>
    <col min="3" max="3" width="11.7109375" style="2" bestFit="1" customWidth="1"/>
    <col min="4" max="4" width="12.28515625" style="2" bestFit="1" customWidth="1"/>
    <col min="5" max="5" width="9.140625" style="3" bestFit="1" customWidth="1"/>
    <col min="6" max="6" width="9.85546875" style="3" bestFit="1" customWidth="1"/>
  </cols>
  <sheetData>
    <row r="1" spans="1:6" x14ac:dyDescent="0.25">
      <c r="A1" s="1" t="s">
        <v>0</v>
      </c>
      <c r="B1" s="2" t="s">
        <v>16</v>
      </c>
      <c r="C1" s="2" t="s">
        <v>1</v>
      </c>
      <c r="D1" s="2" t="s">
        <v>2</v>
      </c>
      <c r="E1" s="3" t="s">
        <v>3</v>
      </c>
      <c r="F1" s="3" t="s">
        <v>21</v>
      </c>
    </row>
    <row r="2" spans="1:6" x14ac:dyDescent="0.25">
      <c r="A2" s="1">
        <v>45876</v>
      </c>
      <c r="B2" s="2" t="s">
        <v>28</v>
      </c>
      <c r="C2" s="2" t="s">
        <v>34</v>
      </c>
      <c r="D2" s="2" t="s">
        <v>27</v>
      </c>
      <c r="E2" s="3">
        <v>300</v>
      </c>
      <c r="F2" s="3">
        <v>-300</v>
      </c>
    </row>
    <row r="3" spans="1:6" x14ac:dyDescent="0.25">
      <c r="A3" s="1">
        <v>45875</v>
      </c>
      <c r="B3" s="2" t="s">
        <v>36</v>
      </c>
      <c r="C3" s="2" t="s">
        <v>34</v>
      </c>
      <c r="D3" s="2" t="s">
        <v>27</v>
      </c>
      <c r="E3" s="3">
        <v>150</v>
      </c>
      <c r="F3" s="3">
        <v>-150</v>
      </c>
    </row>
  </sheetData>
  <conditionalFormatting sqref="A1:XFD1048576">
    <cfRule type="containsBlanks" dxfId="13" priority="1">
      <formula>LEN(TRIM(A1))=0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99E16-E483-47EA-85F8-E6BFDBD61E15}">
  <sheetPr codeName="Planilha11"/>
  <dimension ref="A1:F21"/>
  <sheetViews>
    <sheetView workbookViewId="0">
      <selection activeCell="B6" sqref="B6"/>
    </sheetView>
  </sheetViews>
  <sheetFormatPr defaultRowHeight="15" x14ac:dyDescent="0.25"/>
  <cols>
    <col min="1" max="1" width="18.42578125" style="1" bestFit="1" customWidth="1"/>
    <col min="2" max="2" width="30" style="2" bestFit="1" customWidth="1"/>
    <col min="3" max="3" width="12.85546875" style="3" bestFit="1" customWidth="1"/>
    <col min="4" max="4" width="10.7109375" style="2" bestFit="1" customWidth="1"/>
    <col min="5" max="5" width="10.7109375" style="3" bestFit="1" customWidth="1"/>
    <col min="6" max="6" width="10.42578125" style="3" bestFit="1" customWidth="1"/>
    <col min="9" max="9" width="10" customWidth="1"/>
  </cols>
  <sheetData>
    <row r="1" spans="1:6" x14ac:dyDescent="0.25">
      <c r="A1"/>
      <c r="B1"/>
      <c r="C1"/>
      <c r="D1"/>
      <c r="E1"/>
      <c r="F1"/>
    </row>
    <row r="2" spans="1:6" x14ac:dyDescent="0.25">
      <c r="A2"/>
      <c r="B2"/>
      <c r="C2"/>
      <c r="D2"/>
      <c r="E2"/>
      <c r="F2"/>
    </row>
    <row r="3" spans="1:6" x14ac:dyDescent="0.25">
      <c r="A3"/>
      <c r="B3"/>
      <c r="C3"/>
      <c r="D3"/>
      <c r="E3"/>
      <c r="F3"/>
    </row>
    <row r="4" spans="1:6" x14ac:dyDescent="0.25">
      <c r="A4" s="4" t="s">
        <v>20</v>
      </c>
      <c r="B4" t="s">
        <v>35</v>
      </c>
      <c r="D4" s="3"/>
      <c r="F4"/>
    </row>
    <row r="5" spans="1:6" x14ac:dyDescent="0.25">
      <c r="A5" s="5" t="s">
        <v>28</v>
      </c>
      <c r="B5" s="3">
        <v>300</v>
      </c>
      <c r="D5" s="3"/>
    </row>
    <row r="6" spans="1:6" x14ac:dyDescent="0.25">
      <c r="A6" s="5" t="s">
        <v>36</v>
      </c>
      <c r="B6" s="3">
        <v>150</v>
      </c>
      <c r="D6" s="3"/>
    </row>
    <row r="7" spans="1:6" x14ac:dyDescent="0.25">
      <c r="A7" s="5" t="s">
        <v>19</v>
      </c>
      <c r="B7" s="3">
        <v>450</v>
      </c>
      <c r="D7" s="3"/>
    </row>
    <row r="8" spans="1:6" x14ac:dyDescent="0.25">
      <c r="A8"/>
      <c r="B8"/>
      <c r="D8" s="3"/>
    </row>
    <row r="9" spans="1:6" x14ac:dyDescent="0.25">
      <c r="A9" s="3"/>
      <c r="B9" s="3"/>
      <c r="D9" s="3"/>
    </row>
    <row r="10" spans="1:6" x14ac:dyDescent="0.25">
      <c r="A10" s="3"/>
      <c r="B10" s="3"/>
      <c r="D10" s="3"/>
    </row>
    <row r="11" spans="1:6" x14ac:dyDescent="0.25">
      <c r="A11" s="3"/>
      <c r="B11" s="3"/>
      <c r="D11" s="3"/>
    </row>
    <row r="12" spans="1:6" x14ac:dyDescent="0.25">
      <c r="A12" s="3"/>
      <c r="B12" s="3"/>
      <c r="D12" s="3"/>
    </row>
    <row r="13" spans="1:6" x14ac:dyDescent="0.25">
      <c r="A13" s="3"/>
      <c r="B13" s="3"/>
      <c r="D13" s="3"/>
    </row>
    <row r="14" spans="1:6" x14ac:dyDescent="0.25">
      <c r="A14" s="3"/>
      <c r="B14" s="3"/>
      <c r="D14" s="3"/>
    </row>
    <row r="15" spans="1:6" x14ac:dyDescent="0.25">
      <c r="A15" s="3"/>
      <c r="B15" s="3"/>
      <c r="D15" s="3"/>
    </row>
    <row r="16" spans="1:6" x14ac:dyDescent="0.25">
      <c r="A16" s="3"/>
      <c r="B16" s="3"/>
      <c r="D16" s="3"/>
    </row>
    <row r="17" spans="1:4" x14ac:dyDescent="0.25">
      <c r="A17" s="3"/>
      <c r="B17" s="3"/>
      <c r="D17" s="3"/>
    </row>
    <row r="18" spans="1:4" x14ac:dyDescent="0.25">
      <c r="A18" s="3"/>
      <c r="B18" s="3"/>
      <c r="D18" s="3"/>
    </row>
    <row r="19" spans="1:4" x14ac:dyDescent="0.25">
      <c r="A19" s="3"/>
      <c r="B19" s="3"/>
      <c r="D19" s="3"/>
    </row>
    <row r="20" spans="1:4" x14ac:dyDescent="0.25">
      <c r="A20" s="3"/>
      <c r="B20" s="3"/>
      <c r="D20" s="3"/>
    </row>
    <row r="21" spans="1:4" x14ac:dyDescent="0.25">
      <c r="A21" s="3"/>
      <c r="B21" s="3"/>
      <c r="D21" s="3"/>
    </row>
  </sheetData>
  <conditionalFormatting sqref="A22:XFD1048576 A1:XFD3 D10:XFD21 E9:XFD9 A9:E21 A8 C4:XFD8">
    <cfRule type="containsBlanks" dxfId="12" priority="3">
      <formula>LEN(TRIM(A1))=0</formula>
    </cfRule>
  </conditionalFormatting>
  <pageMargins left="0.511811024" right="0.511811024" top="0.78740157499999996" bottom="0.78740157499999996" header="0.31496062000000002" footer="0.31496062000000002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8F4C50-7E98-4FAA-A15E-4DAF6BF708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</vt:i4>
      </vt:variant>
    </vt:vector>
  </HeadingPairs>
  <TitlesOfParts>
    <vt:vector size="15" baseType="lpstr">
      <vt:lpstr>dados_suporte</vt:lpstr>
      <vt:lpstr>transações_fixas</vt:lpstr>
      <vt:lpstr>transações</vt:lpstr>
      <vt:lpstr>dashboard_resumo</vt:lpstr>
      <vt:lpstr>datas</vt:lpstr>
      <vt:lpstr>análise_tipo</vt:lpstr>
      <vt:lpstr>análise_temporal</vt:lpstr>
      <vt:lpstr>tabela_gastos</vt:lpstr>
      <vt:lpstr>datas_gastos</vt:lpstr>
      <vt:lpstr>análise_gasto_categoria</vt:lpstr>
      <vt:lpstr>tabela_economias</vt:lpstr>
      <vt:lpstr>economias</vt:lpstr>
      <vt:lpstr>coluna_categorias</vt:lpstr>
      <vt:lpstr>coluna_tipos</vt:lpstr>
      <vt:lpstr>StatusFinanceiro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Kauan Buzone</dc:creator>
  <cp:keywords/>
  <dc:description/>
  <cp:lastModifiedBy>Kauan Buzone</cp:lastModifiedBy>
  <cp:revision/>
  <dcterms:created xsi:type="dcterms:W3CDTF">2025-07-20T22:38:14Z</dcterms:created>
  <dcterms:modified xsi:type="dcterms:W3CDTF">2025-07-31T20:59:14Z</dcterms:modified>
  <cp:category/>
  <cp:contentStatus/>
</cp:coreProperties>
</file>